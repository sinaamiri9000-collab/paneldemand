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کل نمونه" sheetId="1" state="visible" r:id="rId1"/>
    <sheet xmlns:r="http://schemas.openxmlformats.org/officeDocument/2006/relationships" name="سال 1392" sheetId="2" state="visible" r:id="rId2"/>
    <sheet xmlns:r="http://schemas.openxmlformats.org/officeDocument/2006/relationships" name="سال 1393" sheetId="3" state="visible" r:id="rId3"/>
    <sheet xmlns:r="http://schemas.openxmlformats.org/officeDocument/2006/relationships" name="سال 1394" sheetId="4" state="visible" r:id="rId4"/>
    <sheet xmlns:r="http://schemas.openxmlformats.org/officeDocument/2006/relationships" name="سال 1395" sheetId="5" state="visible" r:id="rId5"/>
    <sheet xmlns:r="http://schemas.openxmlformats.org/officeDocument/2006/relationships" name="سال 1396" sheetId="6" state="visible" r:id="rId6"/>
    <sheet xmlns:r="http://schemas.openxmlformats.org/officeDocument/2006/relationships" name="سال 1397" sheetId="7" state="visible" r:id="rId7"/>
    <sheet xmlns:r="http://schemas.openxmlformats.org/officeDocument/2006/relationships" name="سال 1398" sheetId="8" state="visible" r:id="rId8"/>
    <sheet xmlns:r="http://schemas.openxmlformats.org/officeDocument/2006/relationships" name="سال 1399" sheetId="9" state="visible" r:id="rId9"/>
    <sheet xmlns:r="http://schemas.openxmlformats.org/officeDocument/2006/relationships" name="سال 1400" sheetId="10" state="visible" r:id="rId10"/>
    <sheet xmlns:r="http://schemas.openxmlformats.org/officeDocument/2006/relationships" name="سال 1401" sheetId="11" state="visible" r:id="rId11"/>
    <sheet xmlns:r="http://schemas.openxmlformats.org/officeDocument/2006/relationships" name="سال 1402" sheetId="12" state="visible" r:id="rId12"/>
    <sheet xmlns:r="http://schemas.openxmlformats.org/officeDocument/2006/relationships" name="سال 1403" sheetId="13" state="visible" r:id="rId13"/>
    <sheet xmlns:r="http://schemas.openxmlformats.org/officeDocument/2006/relationships" name="کوهرت 1392" sheetId="14" state="visible" r:id="rId14"/>
    <sheet xmlns:r="http://schemas.openxmlformats.org/officeDocument/2006/relationships" name="کوهرت 1393" sheetId="15" state="visible" r:id="rId15"/>
    <sheet xmlns:r="http://schemas.openxmlformats.org/officeDocument/2006/relationships" name="کوهرت 1394" sheetId="16" state="visible" r:id="rId16"/>
    <sheet xmlns:r="http://schemas.openxmlformats.org/officeDocument/2006/relationships" name="کوهرت 1397" sheetId="17" state="visible" r:id="rId17"/>
    <sheet xmlns:r="http://schemas.openxmlformats.org/officeDocument/2006/relationships" name="کوهرت 1398" sheetId="18" state="visible" r:id="rId18"/>
    <sheet xmlns:r="http://schemas.openxmlformats.org/officeDocument/2006/relationships" name="کوهرت 1399" sheetId="19" state="visible" r:id="rId19"/>
    <sheet xmlns:r="http://schemas.openxmlformats.org/officeDocument/2006/relationships" name="کوهرت 1400" sheetId="20" state="visible" r:id="rId20"/>
    <sheet xmlns:r="http://schemas.openxmlformats.org/officeDocument/2006/relationships" name="کوهرت 1401" sheetId="21" state="visible" r:id="rId21"/>
    <sheet xmlns:r="http://schemas.openxmlformats.org/officeDocument/2006/relationships" name="دامنه تغییرات" sheetId="22" state="visible" r:id="rId22"/>
  </sheets>
  <definedNames>
    <definedName name="_xlnm.Print_Area" localSheetId="0">'کل نمونه'!$A$1:$M$55</definedName>
    <definedName name="_xlnm.Print_Area" localSheetId="1">'سال 1392'!$A$1:$M$55</definedName>
    <definedName name="_xlnm.Print_Area" localSheetId="2">'سال 1393'!$A$1:$M$55</definedName>
    <definedName name="_xlnm.Print_Area" localSheetId="3">'سال 1394'!$A$1:$M$55</definedName>
    <definedName name="_xlnm.Print_Area" localSheetId="4">'سال 1395'!$A$1:$M$55</definedName>
    <definedName name="_xlnm.Print_Area" localSheetId="5">'سال 1396'!$A$1:$M$55</definedName>
    <definedName name="_xlnm.Print_Area" localSheetId="6">'سال 1397'!$A$1:$M$55</definedName>
    <definedName name="_xlnm.Print_Area" localSheetId="7">'سال 1398'!$A$1:$M$55</definedName>
    <definedName name="_xlnm.Print_Area" localSheetId="8">'سال 1399'!$A$1:$M$55</definedName>
    <definedName name="_xlnm.Print_Area" localSheetId="9">'سال 1400'!$A$1:$M$55</definedName>
    <definedName name="_xlnm.Print_Area" localSheetId="10">'سال 1401'!$A$1:$M$55</definedName>
    <definedName name="_xlnm.Print_Area" localSheetId="11">'سال 1402'!$A$1:$M$55</definedName>
    <definedName name="_xlnm.Print_Area" localSheetId="12">'سال 1403'!$A$1:$M$55</definedName>
    <definedName name="_xlnm.Print_Area" localSheetId="13">'کوهرت 1392'!$A$1:$M$55</definedName>
    <definedName name="_xlnm.Print_Area" localSheetId="14">'کوهرت 1393'!$A$1:$M$55</definedName>
    <definedName name="_xlnm.Print_Area" localSheetId="15">'کوهرت 1394'!$A$1:$M$55</definedName>
    <definedName name="_xlnm.Print_Area" localSheetId="16">'کوهرت 1397'!$A$1:$M$55</definedName>
    <definedName name="_xlnm.Print_Area" localSheetId="17">'کوهرت 1398'!$A$1:$M$55</definedName>
    <definedName name="_xlnm.Print_Area" localSheetId="18">'کوهرت 1399'!$A$1:$M$55</definedName>
    <definedName name="_xlnm.Print_Area" localSheetId="19">'کوهرت 1400'!$A$1:$M$55</definedName>
    <definedName name="_xlnm.Print_Area" localSheetId="20">'کوهرت 1401'!$A$1:$M$55</definedName>
    <definedName name="_xlnm.Print_Area" localSheetId="21">'دامنه تغییرات'!$A$1:$M$281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00;[Red](0.0000);–"/>
    <numFmt numFmtId="165" formatCode="0.0000;-0.0000;–"/>
  </numFmts>
  <fonts count="9">
    <font>
      <name val="Carlito"/>
      <sz val="11"/>
    </font>
    <font>
      <name val="Carlito"/>
      <b val="1"/>
      <color rgb="FFFFFFFF"/>
      <sz val="16"/>
    </font>
    <font>
      <name val="Carlito"/>
      <color rgb="FF687B8B"/>
      <sz val="10"/>
    </font>
    <font>
      <name val="Carlito"/>
      <b val="1"/>
      <color rgb="FFFFFFFF"/>
      <sz val="11"/>
    </font>
    <font>
      <name val="Carlito"/>
      <b val="1"/>
      <color rgb="FF142D45"/>
      <sz val="11"/>
    </font>
    <font>
      <name val="Carlito"/>
      <color rgb="FF243747"/>
      <sz val="11"/>
    </font>
    <font>
      <name val="Carlito"/>
      <color rgb="FF687B8B"/>
      <sz val="9"/>
    </font>
    <font>
      <name val="Carlito"/>
      <b val="1"/>
      <color rgb="FF243747"/>
      <sz val="11"/>
    </font>
    <font>
      <name val="Carlito"/>
      <b val="1"/>
      <sz val="11"/>
    </font>
  </fonts>
  <fills count="11">
    <fill>
      <patternFill/>
    </fill>
    <fill>
      <patternFill patternType="gray125"/>
    </fill>
    <fill>
      <patternFill patternType="solid">
        <fgColor rgb="FF142D45"/>
      </patternFill>
    </fill>
    <fill>
      <patternFill patternType="solid">
        <fgColor rgb="FFF4F8FB"/>
      </patternFill>
    </fill>
    <fill>
      <patternFill patternType="solid">
        <fgColor rgb="FF245F85"/>
      </patternFill>
    </fill>
    <fill>
      <patternFill patternType="solid">
        <fgColor rgb="FF157E79"/>
      </patternFill>
    </fill>
    <fill>
      <patternFill patternType="solid">
        <fgColor rgb="FFECF3F8"/>
      </patternFill>
    </fill>
    <fill>
      <patternFill patternType="solid">
        <fgColor rgb="FFF0EBF7"/>
      </patternFill>
    </fill>
    <fill>
      <patternFill patternType="solid">
        <fgColor rgb="FFE8F3F4"/>
      </patternFill>
    </fill>
    <fill>
      <patternFill patternType="solid">
        <fgColor rgb="FFE1F3EB"/>
      </patternFill>
    </fill>
    <fill>
      <patternFill patternType="solid">
        <fgColor rgb="FF69519A"/>
      </patternFill>
    </fill>
  </fills>
  <borders count="2">
    <border/>
    <border/>
  </borders>
  <cellStyleXfs count="1">
    <xf numFmtId="0" fontId="0" fillId="0" borderId="1"/>
  </cellStyleXfs>
  <cellXfs count="8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5" borderId="0" pivotButton="0" quotePrefix="0" xfId="0"/>
    <xf numFmtId="0" fontId="3" fillId="5" borderId="0" pivotButton="0" quotePrefix="0" xfId="0"/>
    <xf numFmtId="0" fontId="0" fillId="5" borderId="1" pivotButton="0" quotePrefix="0" xfId="0"/>
    <xf numFmtId="0" fontId="3" fillId="5" borderId="1" pivotButton="0" quotePrefix="0" xfId="0"/>
    <xf numFmtId="0" fontId="0" fillId="6" borderId="0" pivotButton="0" quotePrefix="0" xfId="0"/>
    <xf numFmtId="0" fontId="4" fillId="6" borderId="0" pivotButton="0" quotePrefix="0" xfId="0"/>
    <xf numFmtId="0" fontId="4" fillId="6" borderId="0" applyAlignment="1" pivotButton="0" quotePrefix="0" xfId="0">
      <alignment horizontal="center"/>
    </xf>
    <xf numFmtId="0" fontId="0" fillId="6" borderId="1" pivotButton="0" quotePrefix="0" xfId="0"/>
    <xf numFmtId="0" fontId="4" fillId="6" borderId="1" pivotButton="0" quotePrefix="0" xfId="0"/>
    <xf numFmtId="0" fontId="4" fillId="6" borderId="1" applyAlignment="1" pivotButton="0" quotePrefix="0" xfId="0">
      <alignment horizontal="center"/>
    </xf>
    <xf numFmtId="164" fontId="0" fillId="0" borderId="0" pivotButton="0" quotePrefix="0" xfId="0"/>
    <xf numFmtId="164" fontId="0" fillId="0" borderId="1" pivotButton="0" quotePrefix="0" xfId="0"/>
    <xf numFmtId="0" fontId="5" fillId="0" borderId="0" pivotButton="0" quotePrefix="0" xfId="0"/>
    <xf numFmtId="0" fontId="5" fillId="0" borderId="1" pivotButton="0" quotePrefix="0" xfId="0"/>
    <xf numFmtId="164" fontId="0" fillId="6" borderId="0" pivotButton="0" quotePrefix="0" xfId="0"/>
    <xf numFmtId="164" fontId="0" fillId="6" borderId="1" pivotButton="0" quotePrefix="0" xfId="0"/>
    <xf numFmtId="164" fontId="0" fillId="7" borderId="0" pivotButton="0" quotePrefix="0" xfId="0"/>
    <xf numFmtId="164" fontId="0" fillId="7" borderId="1" pivotButton="0" quotePrefix="0" xfId="0"/>
    <xf numFmtId="164" fontId="0" fillId="8" borderId="0" pivotButton="0" quotePrefix="0" xfId="0"/>
    <xf numFmtId="164" fontId="0" fillId="8" borderId="1" pivotButton="0" quotePrefix="0" xfId="0"/>
    <xf numFmtId="164" fontId="0" fillId="6" borderId="0" applyAlignment="1" pivotButton="0" quotePrefix="0" xfId="0">
      <alignment horizontal="center"/>
    </xf>
    <xf numFmtId="164" fontId="0" fillId="7" borderId="0" applyAlignment="1" pivotButton="0" quotePrefix="0" xfId="0">
      <alignment horizontal="center"/>
    </xf>
    <xf numFmtId="164" fontId="0" fillId="8" borderId="0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0" fontId="6" fillId="0" borderId="0" pivotButton="0" quotePrefix="0" xfId="0"/>
    <xf numFmtId="0" fontId="6" fillId="0" borderId="1" pivotButton="0" quotePrefix="0" xfId="0"/>
    <xf numFmtId="0" fontId="7" fillId="6" borderId="0" pivotButton="0" quotePrefix="0" xfId="0"/>
    <xf numFmtId="0" fontId="7" fillId="6" borderId="1" pivotButton="0" quotePrefix="0" xfId="0"/>
    <xf numFmtId="164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0" fontId="0" fillId="10" borderId="0" pivotButton="0" quotePrefix="0" xfId="0"/>
    <xf numFmtId="0" fontId="3" fillId="10" borderId="0" pivotButton="0" quotePrefix="0" xfId="0"/>
    <xf numFmtId="0" fontId="0" fillId="10" borderId="1" pivotButton="0" quotePrefix="0" xfId="0"/>
    <xf numFmtId="0" fontId="3" fillId="10" borderId="1" pivotButton="0" quotePrefix="0" xfId="0"/>
    <xf numFmtId="0" fontId="0" fillId="7" borderId="0" pivotButton="0" quotePrefix="0" xfId="0"/>
    <xf numFmtId="0" fontId="7" fillId="7" borderId="0" pivotButton="0" quotePrefix="0" xfId="0"/>
    <xf numFmtId="0" fontId="0" fillId="7" borderId="1" pivotButton="0" quotePrefix="0" xfId="0"/>
    <xf numFmtId="0" fontId="7" fillId="7" borderId="1" pivotButton="0" quotePrefix="0" xfId="0"/>
    <xf numFmtId="165" fontId="0" fillId="6" borderId="0" applyAlignment="1" pivotButton="0" quotePrefix="0" xfId="0">
      <alignment horizontal="center"/>
    </xf>
    <xf numFmtId="165" fontId="0" fillId="7" borderId="0" applyAlignment="1" pivotButton="0" quotePrefix="0" xfId="0">
      <alignment horizontal="center"/>
    </xf>
    <xf numFmtId="165" fontId="0" fillId="8" borderId="0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  <xf numFmtId="165" fontId="0" fillId="7" borderId="1" applyAlignment="1" pivotButton="0" quotePrefix="0" xfId="0">
      <alignment horizontal="center"/>
    </xf>
    <xf numFmtId="165" fontId="0" fillId="8" borderId="1" applyAlignment="1" pivotButton="0" quotePrefix="0" xfId="0">
      <alignment horizontal="center"/>
    </xf>
    <xf numFmtId="165" fontId="0" fillId="9" borderId="0" applyAlignment="1" pivotButton="0" quotePrefix="0" xfId="0">
      <alignment horizontal="center"/>
    </xf>
    <xf numFmtId="165" fontId="0" fillId="9" borderId="1" applyAlignment="1" pivotButton="0" quotePrefix="0" xfId="0">
      <alignment horizontal="center"/>
    </xf>
    <xf numFmtId="165" fontId="0" fillId="6" borderId="0" applyAlignment="1" pivotButton="0" quotePrefix="0" xfId="0">
      <alignment horizontal="center"/>
    </xf>
    <xf numFmtId="165" fontId="0" fillId="7" borderId="0" applyAlignment="1" pivotButton="0" quotePrefix="0" xfId="0">
      <alignment horizontal="center"/>
    </xf>
    <xf numFmtId="165" fontId="0" fillId="8" borderId="0" applyAlignment="1" pivotButton="0" quotePrefix="0" xfId="0">
      <alignment horizontal="center"/>
    </xf>
    <xf numFmtId="0" fontId="3" fillId="4" borderId="1" applyAlignment="1" pivotButton="0" quotePrefix="0" xfId="0">
      <alignment horizontal="left" vertical="center" readingOrder="2"/>
    </xf>
    <xf numFmtId="0" fontId="4" fillId="6" borderId="0" applyAlignment="1" pivotButton="0" quotePrefix="0" xfId="0">
      <alignment horizontal="center" vertical="center" wrapText="1" readingOrder="2"/>
    </xf>
    <xf numFmtId="0" fontId="5" fillId="0" borderId="0" applyAlignment="1" pivotButton="0" quotePrefix="0" xfId="0">
      <alignment vertical="center" wrapText="1" readingOrder="2"/>
    </xf>
    <xf numFmtId="165" fontId="8" fillId="6" borderId="0" applyAlignment="1" pivotButton="0" quotePrefix="0" xfId="0">
      <alignment horizontal="center" vertical="center"/>
    </xf>
    <xf numFmtId="165" fontId="0" fillId="6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readingOrder="2"/>
    </xf>
    <xf numFmtId="165" fontId="8" fillId="7" borderId="0" applyAlignment="1" pivotButton="0" quotePrefix="0" xfId="0">
      <alignment horizontal="center" vertical="center"/>
    </xf>
    <xf numFmtId="165" fontId="0" fillId="7" borderId="0" applyAlignment="1" pivotButton="0" quotePrefix="0" xfId="0">
      <alignment horizontal="center" vertical="center"/>
    </xf>
    <xf numFmtId="165" fontId="0" fillId="9" borderId="0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کل نمونه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-1.079</ns0:v>
      </ns0:c>
      <ns0:c r="C6" s="69" t="n">
        <ns0:v>-1.0772</ns0:v>
      </ns0:c>
      <ns0:c r="D6" s="70" t="n">
        <ns0:v>1.5667</ns0:v>
      </ns0:c>
      <ns0:c r="E6" s="69" t="n">
        <ns0:v>1.6176</ns0:v>
      </ns0:c>
    </ns0:row>
    <ns0:row r="7" ht="23" customHeight="1">
      <ns0:c r="A7" s="28" t="inlineStr">
        <ns0:is>
          <ns0:t>نان و غلات</ns0:t>
        </ns0:is>
      </ns0:c>
      <ns0:c r="B7" s="68" t="n">
        <ns0:v>-0.6691</ns0:v>
      </ns0:c>
      <ns0:c r="C7" s="69" t="n">
        <ns0:v>-0.635</ns0:v>
      </ns0:c>
      <ns0:c r="D7" s="70" t="n">
        <ns0:v>0.4328</ns0:v>
      </ns0:c>
      <ns0:c r="E7" s="69" t="n">
        <ns0:v>0.3244</ns0:v>
      </ns0:c>
    </ns0:row>
    <ns0:row r="8" ht="23" customHeight="1">
      <ns0:c r="A8" s="28" t="inlineStr">
        <ns0:is>
          <ns0:t>گوشت</ns0:t>
        </ns0:is>
      </ns0:c>
      <ns0:c r="B8" s="68" t="n">
        <ns0:v>-0.9221</ns0:v>
      </ns0:c>
      <ns0:c r="C8" s="69" t="n">
        <ns0:v>-0.9330000000000001</ns0:v>
      </ns0:c>
      <ns0:c r="D8" s="70" t="n">
        <ns0:v>1.2389</ns0:v>
      </ns0:c>
      <ns0:c r="E8" s="69" t="n">
        <ns0:v>1.2596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-0.8005</ns0:v>
      </ns0:c>
      <ns0:c r="C9" s="69" t="n">
        <ns0:v>-0.7941</ns0:v>
      </ns0:c>
      <ns0:c r="D9" s="70" t="n">
        <ns0:v>0.858</ns0:v>
      </ns0:c>
      <ns0:c r="E9" s="69" t="n">
        <ns0:v>0.8334</ns0:v>
      </ns0:c>
    </ns0:row>
    <ns0:row r="10" ht="23" customHeight="1">
      <ns0:c r="A10" s="28" t="inlineStr">
        <ns0:is>
          <ns0:t>روغن و چربی</ns0:t>
        </ns0:is>
      </ns0:c>
      <ns0:c r="B10" s="68" t="n">
        <ns0:v>-0.4679</ns0:v>
      </ns0:c>
      <ns0:c r="C10" s="69" t="n">
        <ns0:v>-0.4676</ns0:v>
      </ns0:c>
      <ns0:c r="D10" s="70" t="n">
        <ns0:v>0.7302</ns0:v>
      </ns0:c>
      <ns0:c r="E10" s="69" t="n">
        <ns0:v>1.0362</ns0:v>
      </ns0:c>
    </ns0:row>
    <ns0:row r="11" ht="23" customHeight="1">
      <ns0:c r="A11" s="28" t="inlineStr">
        <ns0:is>
          <ns0:t>میوه</ns0:t>
        </ns0:is>
      </ns0:c>
      <ns0:c r="B11" s="68" t="n">
        <ns0:v>-1.0583</ns0:v>
      </ns0:c>
      <ns0:c r="C11" s="69" t="n">
        <ns0:v>-1.053</ns0:v>
      </ns0:c>
      <ns0:c r="D11" s="70" t="n">
        <ns0:v>1.3137</ns0:v>
      </ns0:c>
      <ns0:c r="E11" s="69" t="n">
        <ns0:v>1.339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-0.4504</ns0:v>
      </ns0:c>
      <ns0:c r="C12" s="69" t="n">
        <ns0:v>-0.4378</ns0:v>
      </ns0:c>
      <ns0:c r="D12" s="70" t="n">
        <ns0:v>0.7523</ns0:v>
      </ns0:c>
      <ns0:c r="E12" s="69" t="n">
        <ns0:v>0.6873</ns0:v>
      </ns0:c>
    </ns0:row>
    <ns0:row r="13" ht="23" customHeight="1">
      <ns0:c r="A13" s="28" t="inlineStr">
        <ns0:is>
          <ns0:t>حبوبات</ns0:t>
        </ns0:is>
      </ns0:c>
      <ns0:c r="B13" s="68" t="n">
        <ns0:v>-0.6936</ns0:v>
      </ns0:c>
      <ns0:c r="C13" s="69" t="n">
        <ns0:v>-0.7181999999999999</ns0:v>
      </ns0:c>
      <ns0:c r="D13" s="70" t="n">
        <ns0:v>0.9829</ns0:v>
      </ns0:c>
      <ns0:c r="E13" s="69" t="n">
        <ns0:v>1.2454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-0.9634</ns0:v>
      </ns0:c>
      <ns0:c r="C14" s="69" t="n">
        <ns0:v>-0.9749</ns0:v>
      </ns0:c>
      <ns0:c r="D14" s="70" t="n">
        <ns0:v>2.1994</ns0:v>
      </ns0:c>
      <ns0:c r="E14" s="69" t="n">
        <ns0:v>1.6423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-0.5396</ns0:v>
      </ns0:c>
      <ns0:c r="C15" s="69" t="n">
        <ns0:v>-0.5372</ns0:v>
      </ns0:c>
      <ns0:c r="D15" s="70" t="n">
        <ns0:v>1.0125</ns0:v>
      </ns0:c>
      <ns0:c r="E15" s="69" t="n">
        <ns0:v>0.9824000000000001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-0.8534</ns0:v>
      </ns0:c>
      <ns0:c r="C16" s="69" t="n">
        <ns0:v>-0.8633</ns0:v>
      </ns0:c>
      <ns0:c r="D16" s="70" t="n">
        <ns0:v>0.9016999999999999</ns0:v>
      </ns0:c>
      <ns0:c r="E16" s="69" t="n">
        <ns0:v>1.0943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-0.4186</ns0:v>
      </ns0:c>
      <ns0:c r="C17" s="69" t="n">
        <ns0:v>-0.4155</ns0:v>
      </ns0:c>
      <ns0:c r="D17" s="70" t="n">
        <ns0:v>0.8366</ns0:v>
      </ns0:c>
      <ns0:c r="E17" s="69" t="n">
        <ns0:v>0.6775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-1.079026347281514</ns0:v>
      </ns0:c>
      <ns0:c r="C26" s="75" t="n">
        <ns0:v>0.01040450054464043</ns0:v>
      </ns0:c>
      <ns0:c r="D26" s="75" t="n">
        <ns0:v>-0.1004298843020205</ns0:v>
      </ns0:c>
      <ns0:c r="E26" s="75" t="n">
        <ns0:v>0.022008032192827</ns0:v>
      </ns0:c>
      <ns0:c r="F26" s="75" t="n">
        <ns0:v>-0.03683501312333166</ns0:v>
      </ns0:c>
      <ns0:c r="G26" s="75" t="n">
        <ns0:v>-0.07916031925332653</ns0:v>
      </ns0:c>
      <ns0:c r="H26" s="75" t="n">
        <ns0:v>-0.09048886801526058</ns0:v>
      </ns0:c>
      <ns0:c r="I26" s="75" t="n">
        <ns0:v>-0.03212671138970537</ns0:v>
      </ns0:c>
      <ns0:c r="J26" s="75" t="n">
        <ns0:v>-0.01393595337470368</ns0:v>
      </ns0:c>
      <ns0:c r="K26" s="75" t="n">
        <ns0:v>-0.08828013146060226</ns0:v>
      </ns0:c>
      <ns0:c r="L26" s="75" t="n">
        <ns0:v>-0.1217820059545417</ns0:v>
      </ns0:c>
      <ns0:c r="M26" s="75" t="n">
        <ns0:v>0.04688171192583876</ns0:v>
      </ns0:c>
    </ns0:row>
    <ns0:row r="27" ht="30" customHeight="1">
      <ns0:c r="A27" s="73" t="inlineStr">
        <ns0:is>
          <ns0:t>نان و غلات</ns0:t>
        </ns0:is>
      </ns0:c>
      <ns0:c r="B27" s="75" t="n">
        <ns0:v>0.1229441655136986</ns0:v>
      </ns0:c>
      <ns0:c r="C27" s="74" t="n">
        <ns0:v>-0.6691181494325724</ns0:v>
      </ns0:c>
      <ns0:c r="D27" s="75" t="n">
        <ns0:v>0.2157758357131135</ns0:v>
      </ns0:c>
      <ns0:c r="E27" s="75" t="n">
        <ns0:v>-0.1259738205743745</ns0:v>
      </ns0:c>
      <ns0:c r="F27" s="75" t="n">
        <ns0:v>0.003622791525371744</ns0:v>
      </ns0:c>
      <ns0:c r="G27" s="75" t="n">
        <ns0:v>0.03214902999990172</ns0:v>
      </ns0:c>
      <ns0:c r="H27" s="75" t="n">
        <ns0:v>-0.09044568357243078</ns0:v>
      </ns0:c>
      <ns0:c r="I27" s="75" t="n">
        <ns0:v>0.03589004573416383</ns0:v>
      </ns0:c>
      <ns0:c r="J27" s="75" t="n">
        <ns0:v>0.02715777441764042</ns0:v>
      </ns0:c>
      <ns0:c r="K27" s="75" t="n">
        <ns0:v>-0.005316149342590272</ns0:v>
      </ns0:c>
      <ns0:c r="L27" s="75" t="n">
        <ns0:v>0.08622751195442628</ns0:v>
      </ns0:c>
      <ns0:c r="M27" s="75" t="n">
        <ns0:v>-0.04338873101585583</ns0:v>
      </ns0:c>
    </ns0:row>
    <ns0:row r="28" ht="30" customHeight="1">
      <ns0:c r="A28" s="73" t="inlineStr">
        <ns0:is>
          <ns0:t>گوشت</ns0:t>
        </ns0:is>
      </ns0:c>
      <ns0:c r="B28" s="75" t="n">
        <ns0:v>0.001993696019309806</ns0:v>
      </ns0:c>
      <ns0:c r="C28" s="75" t="n">
        <ns0:v>0.02152736527601829</ns0:v>
      </ns0:c>
      <ns0:c r="D28" s="74" t="n">
        <ns0:v>-0.9220710036514351</ns0:v>
      </ns0:c>
      <ns0:c r="E28" s="75" t="n">
        <ns0:v>-0.01518537526938995</ns0:v>
      </ns0:c>
      <ns0:c r="F28" s="75" t="n">
        <ns0:v>-0.0833451219294163</ns0:v>
      </ns0:c>
      <ns0:c r="G28" s="75" t="n">
        <ns0:v>-0.005343304668737164</ns0:v>
      </ns0:c>
      <ns0:c r="H28" s="75" t="n">
        <ns0:v>-0.09007632305392248</ns0:v>
      </ns0:c>
      <ns0:c r="I28" s="75" t="n">
        <ns0:v>-0.02059279674383976</ns0:v>
      </ns0:c>
      <ns0:c r="J28" s="75" t="n">
        <ns0:v>-0.03815408517110327</ns0:v>
      </ns0:c>
      <ns0:c r="K28" s="75" t="n">
        <ns0:v>0.002418955114425075</ns0:v>
      </ns0:c>
      <ns0:c r="L28" s="75" t="n">
        <ns0:v>-0.04691078127804919</ns0:v>
      </ns0:c>
      <ns0:c r="M28" s="75" t="n">
        <ns0:v>-0.04431565599634956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0.1064232070316418</ns0:v>
      </ns0:c>
      <ns0:c r="C29" s="75" t="n">
        <ns0:v>-0.1783946341090565</ns0:v>
      </ns0:c>
      <ns0:c r="D29" s="75" t="n">
        <ns0:v>0.05786451768444502</ns0:v>
      </ns0:c>
      <ns0:c r="E29" s="74" t="n">
        <ns0:v>-0.8005217781964998</ns0:v>
      </ns0:c>
      <ns0:c r="F29" s="75" t="n">
        <ns0:v>0.002506768739297457</ns0:v>
      </ns0:c>
      <ns0:c r="G29" s="75" t="n">
        <ns0:v>0.03433341196847283</ns0:v>
      </ns0:c>
      <ns0:c r="H29" s="75" t="n">
        <ns0:v>-0.151840598484749</ns0:v>
      </ns0:c>
      <ns0:c r="I29" s="75" t="n">
        <ns0:v>0.04384178368767019</ns0:v>
      </ns0:c>
      <ns0:c r="J29" s="75" t="n">
        <ns0:v>0.08722017183237854</ns0:v>
      </ns0:c>
      <ns0:c r="K29" s="75" t="n">
        <ns0:v>-0.04627794512419191</ns0:v>
      </ns0:c>
      <ns0:c r="L29" s="75" t="n">
        <ns0:v>0.1094013808064235</ns0:v>
      </ns0:c>
      <ns0:c r="M29" s="75" t="n">
        <ns0:v>-0.118106955784667</ns0:v>
      </ns0:c>
    </ns0:row>
    <ns0:row r="30" ht="30" customHeight="1">
      <ns0:c r="A30" s="73" t="inlineStr">
        <ns0:is>
          <ns0:t>روغن و چربی</ns0:t>
        </ns0:is>
      </ns0:c>
      <ns0:c r="B30" s="75" t="n">
        <ns0:v>0.0212251831320639</ns0:v>
      </ns0:c>
      <ns0:c r="C30" s="75" t="n">
        <ns0:v>-0.02754753720261377</ns0:v>
      </ns0:c>
      <ns0:c r="D30" s="75" t="n">
        <ns0:v>-0.1759982939157325</ns0:v>
      </ns0:c>
      <ns0:c r="E30" s="75" t="n">
        <ns0:v>0.1316957589677765</ns0:v>
      </ns0:c>
      <ns0:c r="F30" s="74" t="n">
        <ns0:v>-0.4679386862574795</ns0:v>
      </ns0:c>
      <ns0:c r="G30" s="75" t="n">
        <ns0:v>-0.03854090296404181</ns0:v>
      </ns0:c>
      <ns0:c r="H30" s="75" t="n">
        <ns0:v>-0.06531591230687316</ns0:v>
      </ns0:c>
      <ns0:c r="I30" s="75" t="n">
        <ns0:v>-0.1015981977916043</ns0:v>
      </ns0:c>
      <ns0:c r="J30" s="75" t="n">
        <ns0:v>0.0590666310305679</ns0:v>
      </ns0:c>
      <ns0:c r="K30" s="75" t="n">
        <ns0:v>-0.01062733182925649</ns0:v>
      </ns0:c>
      <ns0:c r="L30" s="75" t="n">
        <ns0:v>-0.07378464276878335</ns0:v>
      </ns0:c>
      <ns0:c r="M30" s="75" t="n">
        <ns0:v>-0.00614912955666858</ns0:v>
      </ns0:c>
    </ns0:row>
    <ns0:row r="31" ht="30" customHeight="1">
      <ns0:c r="A31" s="73" t="inlineStr">
        <ns0:is>
          <ns0:t>میوه</ns0:t>
        </ns0:is>
      </ns0:c>
      <ns0:c r="B31" s="75" t="n">
        <ns0:v>-0.1594126342708817</ns0:v>
      </ns0:c>
      <ns0:c r="C31" s="75" t="n">
        <ns0:v>0.001084062809043873</ns0:v>
      </ns0:c>
      <ns0:c r="D31" s="75" t="n">
        <ns0:v>-0.007515324352093106</ns0:v>
      </ns0:c>
      <ns0:c r="E31" s="75" t="n">
        <ns0:v>0.05139486689184566</ns0:v>
      </ns0:c>
      <ns0:c r="F31" s="75" t="n">
        <ns0:v>-0.08781833251508776</ns0:v>
      </ns0:c>
      <ns0:c r="G31" s="74" t="n">
        <ns0:v>-1.05831605494859</ns0:v>
      </ns0:c>
      <ns0:c r="H31" s="75" t="n">
        <ns0:v>0.1211221442441253</ns0:v>
      </ns0:c>
      <ns0:c r="I31" s="75" t="n">
        <ns0:v>-0.04657658808621387</ns0:v>
      </ns0:c>
      <ns0:c r="J31" s="75" t="n">
        <ns0:v>-0.1948687337538899</ns0:v>
      </ns0:c>
      <ns0:c r="K31" s="75" t="n">
        <ns0:v>0.05445412070398516</ns0:v>
      </ns0:c>
      <ns0:c r="L31" s="75" t="n">
        <ns0:v>-0.02934757920472757</ns0:v>
      </ns0:c>
      <ns0:c r="M31" s="75" t="n">
        <ns0:v>0.0300945671730796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-0.01077401623574555</ns0:v>
      </ns0:c>
      <ns0:c r="C32" s="75" t="n">
        <ns0:v>-0.1285152371134866</ns0:v>
      </ns0:c>
      <ns0:c r="D32" s="75" t="n">
        <ns0:v>-0.07121932026167258</ns0:v>
      </ns0:c>
      <ns0:c r="E32" s="75" t="n">
        <ns0:v>-0.1434377530771536</ns0:v>
      </ns0:c>
      <ns0:c r="F32" s="75" t="n">
        <ns0:v>-0.001818655578956726</ns0:v>
      </ns0:c>
      <ns0:c r="G32" s="75" t="n">
        <ns0:v>0.05152782426941008</ns0:v>
      </ns0:c>
      <ns0:c r="H32" s="74" t="n">
        <ns0:v>-0.4504263732725641</ns0:v>
      </ns0:c>
      <ns0:c r="I32" s="75" t="n">
        <ns0:v>0.0007094484446551439</ns0:v>
      </ns0:c>
      <ns0:c r="J32" s="75" t="n">
        <ns0:v>0.01246706447569565</ns0:v>
      </ns0:c>
      <ns0:c r="K32" s="75" t="n">
        <ns0:v>-0.07347333769267783</ns0:v>
      </ns0:c>
      <ns0:c r="L32" s="75" t="n">
        <ns0:v>0.06170080618589272</ns0:v>
      </ns0:c>
      <ns0:c r="M32" s="75" t="n">
        <ns0:v>-0.02520323556941116</ns0:v>
      </ns0:c>
    </ns0:row>
    <ns0:row r="33" ht="30" customHeight="1">
      <ns0:c r="A33" s="73" t="inlineStr">
        <ns0:is>
          <ns0:t>حبوبات</ns0:t>
        </ns0:is>
      </ns0:c>
      <ns0:c r="B33" s="75" t="n">
        <ns0:v>-0.06419828831111672</ns0:v>
      </ns0:c>
      <ns0:c r="C33" s="75" t="n">
        <ns0:v>0.0276062989753837</ns0:v>
      </ns0:c>
      <ns0:c r="D33" s="75" t="n">
        <ns0:v>0.04639754726477441</ns0:v>
      </ns0:c>
      <ns0:c r="E33" s="75" t="n">
        <ns0:v>0.256169129322494</ns0:v>
      </ns0:c>
      <ns0:c r="F33" s="75" t="n">
        <ns0:v>-0.09899561935433865</ns0:v>
      </ns0:c>
      <ns0:c r="G33" s="75" t="n">
        <ns0:v>-0.05523843721805372</ns0:v>
      </ns0:c>
      <ns0:c r="H33" s="75" t="n">
        <ns0:v>-0.1195035258964732</ns0:v>
      </ns0:c>
      <ns0:c r="I33" s="74" t="n">
        <ns0:v>-0.6936284543498763</ns0:v>
      </ns0:c>
      <ns0:c r="J33" s="75" t="n">
        <ns0:v>-0.1231702301275474</ns0:v>
      </ns0:c>
      <ns0:c r="K33" s="75" t="n">
        <ns0:v>-0.1654394695085811</ns0:v>
      </ns0:c>
      <ns0:c r="L33" s="75" t="n">
        <ns0:v>0.03278305987266041</ns0:v>
      </ns0:c>
      <ns0:c r="M33" s="75" t="n">
        <ns0:v>0.004538828955033877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-0.1661191100710555</ns0:v>
      </ns0:c>
      <ns0:c r="C34" s="75" t="n">
        <ns0:v>-0.08034918716349267</ns0:v>
      </ns0:c>
      <ns0:c r="D34" s="75" t="n">
        <ns0:v>-0.4043667847330875</ns0:v>
      </ns0:c>
      <ns0:c r="E34" s="75" t="n">
        <ns0:v>0.08862046475372279</ns0:v>
      </ns0:c>
      <ns0:c r="F34" s="75" t="n">
        <ns0:v>0.0001283417956401501</ns0:v>
      </ns0:c>
      <ns0:c r="G34" s="75" t="n">
        <ns0:v>-0.2332005988152911</ns0:v>
      </ns0:c>
      <ns0:c r="H34" s="75" t="n">
        <ns0:v>-0.1504708643409975</ns0:v>
      </ns0:c>
      <ns0:c r="I34" s="75" t="n">
        <ns0:v>-0.1604104942618904</ns0:v>
      </ns0:c>
      <ns0:c r="J34" s="74" t="n">
        <ns0:v>-0.9634435454853706</ns0:v>
      </ns0:c>
      <ns0:c r="K34" s="75" t="n">
        <ns0:v>-0.1116401745684476</ns0:v>
      </ns0:c>
      <ns0:c r="L34" s="75" t="n">
        <ns0:v>-0.1966860699006721</ns0:v>
      </ns0:c>
      <ns0:c r="M34" s="75" t="n">
        <ns0:v>0.06172362108883708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-0.1233728493699114</ns0:v>
      </ns0:c>
      <ns0:c r="C35" s="75" t="n">
        <ns0:v>-0.06232313398828979</ns0:v>
      </ns0:c>
      <ns0:c r="D35" s="75" t="n">
        <ns0:v>0.008685765931042899</ns0:v>
      </ns0:c>
      <ns0:c r="E35" s="75" t="n">
        <ns0:v>-0.11181246186658</ns0:v>
      </ns0:c>
      <ns0:c r="F35" s="75" t="n">
        <ns0:v>-0.01751468158680147</ns0:v>
      </ns0:c>
      <ns0:c r="G35" s="75" t="n">
        <ns0:v>0.04848116845517541</ns0:v>
      </ns0:c>
      <ns0:c r="H35" s="75" t="n">
        <ns0:v>-0.1090532244169496</ns0:v>
      </ns0:c>
      <ns0:c r="I35" s="75" t="n">
        <ns0:v>-0.04223759402568788</ns0:v>
      </ns0:c>
      <ns0:c r="J35" s="75" t="n">
        <ns0:v>-0.02324875393342029</ns0:v>
      </ns0:c>
      <ns0:c r="K35" s="74" t="n">
        <ns0:v>-0.5396243697414698</ns0:v>
      </ns0:c>
      <ns0:c r="L35" s="75" t="n">
        <ns0:v>-0.06085803119364864</ns0:v>
      </ns0:c>
      <ns0:c r="M35" s="75" t="n">
        <ns0:v>-0.002491731369681007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-0.238112447702384</ns0:v>
      </ns0:c>
      <ns0:c r="C36" s="75" t="n">
        <ns0:v>0.1751121533695501</ns0:v>
      </ns0:c>
      <ns0:c r="D36" s="75" t="n">
        <ns0:v>-0.06640434249136046</ns0:v>
      </ns0:c>
      <ns0:c r="E36" s="75" t="n">
        <ns0:v>0.286357656645199</ns0:v>
      </ns0:c>
      <ns0:c r="F36" s="75" t="n">
        <ns0:v>-0.09743543172936045</ns0:v>
      </ns0:c>
      <ns0:c r="G36" s="75" t="n">
        <ns0:v>-0.02693816495513671</ns0:v>
      </ns0:c>
      <ns0:c r="H36" s="75" t="n">
        <ns0:v>0.1680433598311005</ns0:v>
      </ns0:c>
      <ns0:c r="I36" s="75" t="n">
        <ns0:v>0.0797253281971976</ns0:v>
      </ns0:c>
      <ns0:c r="J36" s="75" t="n">
        <ns0:v>-0.1250201485084808</ns0:v>
      </ns0:c>
      <ns0:c r="K36" s="75" t="n">
        <ns0:v>-0.1936305887851177</ns0:v>
      </ns0:c>
      <ns0:c r="L36" s="74" t="n">
        <ns0:v>-0.8533883597441381</ns0:v>
      </ns0:c>
      <ns0:c r="M36" s="75" t="n">
        <ns0:v>0.07930778325779649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0.2314259038034418</ns0:v>
      </ns0:c>
      <ns0:c r="C37" s="75" t="n">
        <ns0:v>-0.1447887457693605</ns0:v>
      </ns0:c>
      <ns0:c r="D37" s="75" t="n">
        <ns0:v>-0.1793881699782742</ns0:v>
      </ns0:c>
      <ns0:c r="E37" s="75" t="n">
        <ns0:v>-0.3502335002312386</ns0:v>
      </ns0:c>
      <ns0:c r="F37" s="75" t="n">
        <ns0:v>-0.049723706448773</ns0:v>
      </ns0:c>
      <ns0:c r="G37" s="75" t="n">
        <ns0:v>0.06073537612720911</ns0:v>
      </ns0:c>
      <ns0:c r="H37" s="75" t="n">
        <ns0:v>-0.1127989302246863</ns0:v>
      </ns0:c>
      <ns0:c r="I37" s="75" t="n">
        <ns0:v>-0.03668169770303644</ns0:v>
      </ns0:c>
      <ns0:c r="J37" s="75" t="n">
        <ns0:v>0.1947600521548227</ns0:v>
      </ns0:c>
      <ns0:c r="K37" s="75" t="n">
        <ns0:v>-0.04500870391826688</ns0:v>
      </ns0:c>
      <ns0:c r="L37" s="75" t="n">
        <ns0:v>0.01996300442624007</ns0:v>
      </ns0:c>
      <ns0:c r="M37" s="74" t="n">
        <ns0:v>-0.4186393835395463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-1.077166173636661</ns0:v>
      </ns0:c>
      <ns0:c r="C42" s="78" t="n">
        <ns0:v>-0.005104438174785678</ns0:v>
      </ns0:c>
      <ns0:c r="D42" s="78" t="n">
        <ns0:v>-0.1146926176158998</ns0:v>
      </ns0:c>
      <ns0:c r="E42" s="78" t="n">
        <ns0:v>0.01441618191906769</ns0:v>
      </ns0:c>
      <ns0:c r="F42" s="78" t="n">
        <ns0:v>-0.03401815246032121</ns0:v>
      </ns0:c>
      <ns0:c r="G42" s="78" t="n">
        <ns0:v>-0.08098542105685387</ns0:v>
      </ns0:c>
      <ns0:c r="H42" s="78" t="n">
        <ns0:v>-0.1001832277075362</ns0:v>
      </ns0:c>
      <ns0:c r="I42" s="78" t="n">
        <ns0:v>-0.03315942687461732</ns0:v>
      </ns0:c>
      <ns0:c r="J42" s="78" t="n">
        <ns0:v>-0.01335828582211427</ns0:v>
      </ns0:c>
      <ns0:c r="K42" s="78" t="n">
        <ns0:v>-0.08822982716438209</ns0:v>
      </ns0:c>
      <ns0:c r="L42" s="78" t="n">
        <ns0:v>-0.1258975804840114</ns0:v>
      </ns0:c>
      <ns0:c r="M42" s="78" t="n">
        <ns0:v>0.04473411913618953</ns0:v>
      </ns0:c>
    </ns0:row>
    <ns0:row r="43" ht="30" customHeight="1">
      <ns0:c r="A43" s="73" t="inlineStr">
        <ns0:is>
          <ns0:t>نان و غلات</ns0:t>
        </ns0:is>
      </ns0:c>
      <ns0:c r="B43" s="78" t="n">
        <ns0:v>0.1185832277093099</ns0:v>
      </ns0:c>
      <ns0:c r="C43" s="77" t="n">
        <ns0:v>-0.6349694305545227</ns0:v>
      </ns0:c>
      <ns0:c r="D43" s="78" t="n">
        <ns0:v>0.2371866510016468</ns0:v>
      </ns0:c>
      <ns0:c r="E43" s="78" t="n">
        <ns0:v>-0.1072284962737148</ns0:v>
      </ns0:c>
      <ns0:c r="F43" s="78" t="n">
        <ns0:v>-0.01069099836686649</ns0:v>
      </ns0:c>
      <ns0:c r="G43" s="78" t="n">
        <ns0:v>0.0339342041951707</ns0:v>
      </ns0:c>
      <ns0:c r="H43" s="78" t="n">
        <ns0:v>-0.07451419983055622</ns0:v>
      </ns0:c>
      <ns0:c r="I43" s="78" t="n">
        <ns0:v>0.03957101104193553</ns0:v>
      </ns0:c>
      <ns0:c r="J43" s="78" t="n">
        <ns0:v>0.03881831630368265</ns0:v>
      </ns0:c>
      <ns0:c r="K43" s="78" t="n">
        <ns0:v>-0.001178747272251265</ns0:v>
      </ns0:c>
      <ns0:c r="L43" s="78" t="n">
        <ns0:v>0.09284712908197917</ns0:v>
      </ns0:c>
      <ns0:c r="M43" s="78" t="n">
        <ns0:v>-0.03531574474214481</ns0:v>
      </ns0:c>
    </ns0:row>
    <ns0:row r="44" ht="30" customHeight="1">
      <ns0:c r="A44" s="73" t="inlineStr">
        <ns0:is>
          <ns0:t>گوشت</ns0:t>
        </ns0:is>
      </ns0:c>
      <ns0:c r="B44" s="78" t="n">
        <ns0:v>-0.0009026830852124548</ns0:v>
      </ns0:c>
      <ns0:c r="C44" s="78" t="n">
        <ns0:v>0.01750662076787241</ns0:v>
      </ns0:c>
      <ns0:c r="D44" s="77" t="n">
        <ns0:v>-0.9330031445849458</ns0:v>
      </ns0:c>
      <ns0:c r="E44" s="78" t="n">
        <ns0:v>-0.02052781621410181</ns0:v>
      </ns0:c>
      <ns0:c r="F44" s="78" t="n">
        <ns0:v>-0.07390890899093598</ns0:v>
      </ns0:c>
      <ns0:c r="G44" s="78" t="n">
        <ns0:v>-0.004170043228369222</ns0:v>
      </ns0:c>
      <ns0:c r="H44" s="78" t="n">
        <ns0:v>-0.09196075117863818</ns0:v>
      </ns0:c>
      <ns0:c r="I44" s="78" t="n">
        <ns0:v>-0.02072532494951638</ns0:v>
      </ns0:c>
      <ns0:c r="J44" s="78" t="n">
        <ns0:v>-0.03923887229028004</ns0:v>
      </ns0:c>
      <ns0:c r="K44" s="78" t="n">
        <ns0:v>-0.003179425030860504</ns0:v>
      </ns0:c>
      <ns0:c r="L44" s="78" t="n">
        <ns0:v>-0.04519197735847796</ns0:v>
      </ns0:c>
      <ns0:c r="M44" s="78" t="n">
        <ns0:v>-0.04535043804096608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0.107971073629135</ns0:v>
      </ns0:c>
      <ns0:c r="C45" s="78" t="n">
        <ns0:v>-0.1698855805946717</ns0:v>
      </ns0:c>
      <ns0:c r="D45" s="78" t="n">
        <ns0:v>0.05811843102318463</ns0:v>
      </ns0:c>
      <ns0:c r="E45" s="77" t="n">
        <ns0:v>-0.7940607936584392</ns0:v>
      </ns0:c>
      <ns0:c r="F45" s="78" t="n">
        <ns0:v>-0.01208174794079894</ns0:v>
      </ns0:c>
      <ns0:c r="G45" s="78" t="n">
        <ns0:v>0.03414660137565522</ns0:v>
      </ns0:c>
      <ns0:c r="H45" s="78" t="n">
        <ns0:v>-0.1460740769159994</ns0:v>
      </ns0:c>
      <ns0:c r="I45" s="78" t="n">
        <ns0:v>0.04396874006681882</ns0:v>
      </ns0:c>
      <ns0:c r="J45" s="78" t="n">
        <ns0:v>0.1041100478667481</ns0:v>
      </ns0:c>
      <ns0:c r="K45" s="78" t="n">
        <ns0:v>-0.05073656660370743</ns0:v>
      </ns0:c>
      <ns0:c r="L45" s="78" t="n">
        <ns0:v>0.1085864638328459</ns0:v>
      </ns0:c>
      <ns0:c r="M45" s="78" t="n">
        <ns0:v>-0.1130369337143167</ns0:v>
      </ns0:c>
    </ns0:row>
    <ns0:row r="46" ht="30" customHeight="1">
      <ns0:c r="A46" s="73" t="inlineStr">
        <ns0:is>
          <ns0:t>روغن و چربی</ns0:t>
        </ns0:is>
      </ns0:c>
      <ns0:c r="B46" s="78" t="n">
        <ns0:v>0.01452831005831686</ns0:v>
      </ns0:c>
      <ns0:c r="C46" s="78" t="n">
        <ns0:v>-0.09681764594122427</ns0:v>
      </ns0:c>
      <ns0:c r="D46" s="78" t="n">
        <ns0:v>-0.2102549829144933</ns0:v>
      </ns0:c>
      <ns0:c r="E46" s="78" t="n">
        <ns0:v>0.07320586656339105</ns0:v>
      </ns0:c>
      <ns0:c r="F46" s="77" t="n">
        <ns0:v>-0.4676414902753665</ns0:v>
      </ns0:c>
      <ns0:c r="G46" s="78" t="n">
        <ns0:v>-0.05277231134988242</ns0:v>
      </ns0:c>
      <ns0:c r="H46" s="78" t="n">
        <ns0:v>-0.1152924573034654</ns0:v>
      </ns0:c>
      <ns0:c r="I46" s="78" t="n">
        <ns0:v>-0.119808436008327</ns0:v>
      </ns0:c>
      <ns0:c r="J46" s="78" t="n">
        <ns0:v>0.03337595943888157</ns0:v>
      </ns0:c>
      <ns0:c r="K46" s="78" t="n">
        <ns0:v>-0.01498165303966673</ns0:v>
      </ns0:c>
      <ns0:c r="L46" s="78" t="n">
        <ns0:v>-0.087283033286375</ns0:v>
      </ns0:c>
      <ns0:c r="M46" s="78" t="n">
        <ns0:v>-0.02134926422712443</ns0:v>
      </ns0:c>
    </ns0:row>
    <ns0:row r="47" ht="30" customHeight="1">
      <ns0:c r="A47" s="73" t="inlineStr">
        <ns0:is>
          <ns0:t>میوه</ns0:t>
        </ns0:is>
      </ns0:c>
      <ns0:c r="B47" s="78" t="n">
        <ns0:v>-0.1604665056725504</ns0:v>
      </ns0:c>
      <ns0:c r="C47" s="78" t="n">
        <ns0:v>-0.007931415240814201</ns0:v>
      </ns0:c>
      <ns0:c r="D47" s="78" t="n">
        <ns0:v>-0.003374889569123281</ns0:v>
      </ns0:c>
      <ns0:c r="E47" s="78" t="n">
        <ns0:v>0.04732723976441221</ns0:v>
      </ns0:c>
      <ns0:c r="F47" s="78" t="n">
        <ns0:v>-0.09268772921847489</ns0:v>
      </ns0:c>
      <ns0:c r="G47" s="77" t="n">
        <ns0:v>-1.052983238494843</ns0:v>
      </ns0:c>
      <ns0:c r="H47" s="78" t="n">
        <ns0:v>0.1115105314649344</ns0:v>
      </ns0:c>
      <ns0:c r="I47" s="78" t="n">
        <ns0:v>-0.04762355143910296</ns0:v>
      </ns0:c>
      <ns0:c r="J47" s="78" t="n">
        <ns0:v>-0.1981593789973271</ns0:v>
      </ns0:c>
      <ns0:c r="K47" s="78" t="n">
        <ns0:v>0.05219020528636917</ns0:v>
      </ns0:c>
      <ns0:c r="L47" s="78" t="n">
        <ns0:v>-0.02875352316886607</ns0:v>
      </ns0:c>
      <ns0:c r="M47" s="78" t="n">
        <ns0:v>0.02702097810824441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-0.01050749104984086</ns0:v>
      </ns0:c>
      <ns0:c r="C48" s="78" t="n">
        <ns0:v>-0.1185662643704026</ns0:v>
      </ns0:c>
      <ns0:c r="D48" s="78" t="n">
        <ns0:v>-0.05532981609860025</ns0:v>
      </ns0:c>
      <ns0:c r="E48" s="78" t="n">
        <ns0:v>-0.1325600096038055</ns0:v>
      </ns0:c>
      <ns0:c r="F48" s="78" t="n">
        <ns0:v>-0.001889613385830537</ns0:v>
      </ns0:c>
      <ns0:c r="G48" s="78" t="n">
        <ns0:v>0.05261898414173851</ns0:v>
      </ns0:c>
      <ns0:c r="H48" s="77" t="n">
        <ns0:v>-0.4377789952010077</ns0:v>
      </ns0:c>
      <ns0:c r="I48" s="78" t="n">
        <ns0:v>0.004263394837682025</ns0:v>
      </ns0:c>
      <ns0:c r="J48" s="78" t="n">
        <ns0:v>0.00991715566181269</ns0:v>
      </ns0:c>
      <ns0:c r="K48" s="78" t="n">
        <ns0:v>-0.06586243388387125</ns0:v>
      </ns0:c>
      <ns0:c r="L48" s="78" t="n">
        <ns0:v>0.06252482439465237</ns0:v>
      </ns0:c>
      <ns0:c r="M48" s="78" t="n">
        <ns0:v>-0.0216759796025114</ns0:v>
      </ns0:c>
    </ns0:row>
    <ns0:row r="49" ht="30" customHeight="1">
      <ns0:c r="A49" s="73" t="inlineStr">
        <ns0:is>
          <ns0:t>حبوبات</ns0:t>
        </ns0:is>
      </ns0:c>
      <ns0:c r="B49" s="78" t="n">
        <ns0:v>-0.07849198059806005</ns0:v>
      </ns0:c>
      <ns0:c r="C49" s="78" t="n">
        <ns0:v>-0.01140590540654229</ns0:v>
      </ns0:c>
      <ns0:c r="D49" s="78" t="n">
        <ns0:v>-0.007981955582524975</ns0:v>
      </ns0:c>
      <ns0:c r="E49" s="78" t="n">
        <ns0:v>0.2126026317364607</ns0:v>
      </ns0:c>
      <ns0:c r="F49" s="78" t="n">
        <ns0:v>-0.1119766140503836</ns0:v>
      </ns0:c>
      <ns0:c r="G49" s="78" t="n">
        <ns0:v>-0.0683415545094513</ns0:v>
      </ns0:c>
      <ns0:c r="H49" s="78" t="n">
        <ns0:v>-0.1453642695946145</ns0:v>
      </ns0:c>
      <ns0:c r="I49" s="77" t="n">
        <ns0:v>-0.7182347363366308</ns0:v>
      </ns0:c>
      <ns0:c r="J49" s="78" t="n">
        <ns0:v>-0.1107536685812997</ns0:v>
      </ns0:c>
      <ns0:c r="K49" s="78" t="n">
        <ns0:v>-0.1737417818977431</ns0:v>
      </ns0:c>
      <ns0:c r="L49" s="78" t="n">
        <ns0:v>0.01495490154037256</ns0:v>
      </ns0:c>
      <ns0:c r="M49" s="78" t="n">
        <ns0:v>-0.004861560761986638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-0.1251145859587083</ns0:v>
      </ns0:c>
      <ns0:c r="C50" s="78" t="n">
        <ns0:v>0.005345218446098322</ns0:v>
      </ns0:c>
      <ns0:c r="D50" s="78" t="n">
        <ns0:v>-0.2836328172556269</ns0:v>
      </ns0:c>
      <ns0:c r="E50" s="78" t="n">
        <ns0:v>0.1949842924795377</ns0:v>
      </ns0:c>
      <ns0:c r="F50" s="78" t="n">
        <ns0:v>0.01733592756338128</ns0:v>
      </ns0:c>
      <ns0:c r="G50" s="78" t="n">
        <ns0:v>-0.2106681344311084</ns0:v>
      </ns0:c>
      <ns0:c r="H50" s="78" t="n">
        <ns0:v>-0.08720657038049645</ns0:v>
      </ns0:c>
      <ns0:c r="I50" s="78" t="n">
        <ns0:v>-0.1237737462563814</ns0:v>
      </ns0:c>
      <ns0:c r="J50" s="77" t="n">
        <ns0:v>-0.9749086295297855</ns0:v>
      </ns0:c>
      <ns0:c r="K50" s="78" t="n">
        <ns0:v>-0.0843286934298635</ns0:v>
      </ns0:c>
      <ns0:c r="L50" s="78" t="n">
        <ns0:v>-0.1611687069625324</ns0:v>
      </ns0:c>
      <ns0:c r="M50" s="78" t="n">
        <ns0:v>0.07501487878570376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-0.1087080722681128</ns0:v>
      </ns0:c>
      <ns0:c r="C51" s="78" t="n">
        <ns0:v>-0.06441907890084912</ns0:v>
      </ns0:c>
      <ns0:c r="D51" s="78" t="n">
        <ns0:v>0.007847758469169948</ns0:v>
      </ns0:c>
      <ns0:c r="E51" s="78" t="n">
        <ns0:v>-0.1092680698751628</ns0:v>
      </ns0:c>
      <ns0:c r="F51" s="78" t="n">
        <ns0:v>-0.005501968717923132</ns0:v>
      </ns0:c>
      <ns0:c r="G51" s="78" t="n">
        <ns0:v>0.05077212807118268</ns0:v>
      </ns0:c>
      <ns0:c r="H51" s="78" t="n">
        <ns0:v>-0.106501605363225</ns0:v>
      </ns0:c>
      <ns0:c r="I51" s="78" t="n">
        <ns0:v>-0.03652279189748757</ns0:v>
      </ns0:c>
      <ns0:c r="J51" s="78" t="n">
        <ns0:v>-0.0353259313145002</ns0:v>
      </ns0:c>
      <ns0:c r="K51" s="77" t="n">
        <ns0:v>-0.5371560972524805</ns0:v>
      </ns0:c>
      <ns0:c r="L51" s="78" t="n">
        <ns0:v>-0.06195648086319785</ns0:v>
      </ns0:c>
      <ns0:c r="M51" s="78" t="n">
        <ns0:v>-0.004394579298500847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-0.259551016538806</ns0:v>
      </ns0:c>
      <ns0:c r="C52" s="78" t="n">
        <ns0:v>0.1525777924078749</ns0:v>
      </ns0:c>
      <ns0:c r="D52" s="78" t="n">
        <ns0:v>-0.09960402751816443</ns0:v>
      </ns0:c>
      <ns0:c r="E52" s="78" t="n">
        <ns0:v>0.2535940793349862</ns0:v>
      </ns0:c>
      <ns0:c r="F52" s="78" t="n">
        <ns0:v>-0.1054888311116882</ns0:v>
      </ns0:c>
      <ns0:c r="G52" s="78" t="n">
        <ns0:v>-0.03518101641446977</ns0:v>
      </ns0:c>
      <ns0:c r="H52" s="78" t="n">
        <ns0:v>0.141106941399897</ns0:v>
      </ns0:c>
      <ns0:c r="I52" s="78" t="n">
        <ns0:v>0.06514130263568921</ns0:v>
      </ns0:c>
      <ns0:c r="J52" s="78" t="n">
        <ns0:v>-0.1167197774483413</ns0:v>
      </ns0:c>
      <ns0:c r="K52" s="78" t="n">
        <ns0:v>-0.2042520131306039</ns0:v>
      </ns0:c>
      <ns0:c r="L52" s="77" t="n">
        <ns0:v>-0.8633414793331161</ns0:v>
      </ns0:c>
      <ns0:c r="M52" s="78" t="n">
        <ns0:v>0.07045607057218987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0.2428272103506913</ns0:v>
      </ns0:c>
      <ns0:c r="C53" s="78" t="n">
        <ns0:v>-0.1130067828406023</ns0:v>
      </ns0:c>
      <ns0:c r="D53" s="78" t="n">
        <ns0:v>-0.147593862269809</ns0:v>
      </ns0:c>
      <ns0:c r="E53" s="78" t="n">
        <ns0:v>-0.3192633884327845</ns0:v>
      </ns0:c>
      <ns0:c r="F53" s="78" t="n">
        <ns0:v>-0.0465857453233719</ns0:v>
      </ns0:c>
      <ns0:c r="G53" s="78" t="n">
        <ns0:v>0.06664868850768391</ns0:v>
      </ns0:c>
      <ns0:c r="H53" s="78" t="n">
        <ns0:v>-0.08849005193096511</ns0:v>
      </ns0:c>
      <ns0:c r="I53" s="78" t="n">
        <ns0:v>-0.03122800298764079</ns0:v>
      </ns0:c>
      <ns0:c r="J53" s="78" t="n">
        <ns0:v>0.187370954900586</ns0:v>
      </ns0:c>
      <ns0:c r="K53" s="78" t="n">
        <ns0:v>-0.03398426854555962</ns0:v>
      </ns0:c>
      <ns0:c r="L53" s="78" t="n">
        <ns0:v>0.02679390315195571</ns0:v>
      </ns0:c>
      <ns0:c r="M53" s="77" t="n">
        <ns0:v>-0.4155353084564813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سال 1392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-1.0737</ns0:v>
      </ns0:c>
      <ns0:c r="C6" s="69" t="n">
        <ns0:v>-1.0705</ns0:v>
      </ns0:c>
      <ns0:c r="D6" s="70" t="n">
        <ns0:v>1.5787</ns0:v>
      </ns0:c>
      <ns0:c r="E6" s="69" t="n">
        <ns0:v>1.6236</ns0:v>
      </ns0:c>
    </ns0:row>
    <ns0:row r="7" ht="23" customHeight="1">
      <ns0:c r="A7" s="28" t="inlineStr">
        <ns0:is>
          <ns0:t>نان و غلات</ns0:t>
        </ns0:is>
      </ns0:c>
      <ns0:c r="B7" s="68" t="n">
        <ns0:v>-0.6975</ns0:v>
      </ns0:c>
      <ns0:c r="C7" s="69" t="n">
        <ns0:v>-0.6661</ns0:v>
      </ns0:c>
      <ns0:c r="D7" s="70" t="n">
        <ns0:v>0.5722</ns0:v>
      </ns0:c>
      <ns0:c r="E7" s="69" t="n">
        <ns0:v>0.4757</ns0:v>
      </ns0:c>
    </ns0:row>
    <ns0:row r="8" ht="23" customHeight="1">
      <ns0:c r="A8" s="28" t="inlineStr">
        <ns0:is>
          <ns0:t>گوشت</ns0:t>
        </ns0:is>
      </ns0:c>
      <ns0:c r="B8" s="68" t="n">
        <ns0:v>-0.9093</ns0:v>
      </ns0:c>
      <ns0:c r="C8" s="69" t="n">
        <ns0:v>-0.9203</ns0:v>
      </ns0:c>
      <ns0:c r="D8" s="70" t="n">
        <ns0:v>1.2305</ns0:v>
      </ns0:c>
      <ns0:c r="E8" s="69" t="n">
        <ns0:v>1.2522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-0.7907999999999999</ns0:v>
      </ns0:c>
      <ns0:c r="C9" s="69" t="n">
        <ns0:v>-0.7842</ns0:v>
      </ns0:c>
      <ns0:c r="D9" s="70" t="n">
        <ns0:v>0.8623</ns0:v>
      </ns0:c>
      <ns0:c r="E9" s="69" t="n">
        <ns0:v>0.8357</ns0:v>
      </ns0:c>
    </ns0:row>
    <ns0:row r="10" ht="23" customHeight="1">
      <ns0:c r="A10" s="28" t="inlineStr">
        <ns0:is>
          <ns0:t>روغن و چربی</ns0:t>
        </ns0:is>
      </ns0:c>
      <ns0:c r="B10" s="68" t="n">
        <ns0:v>-0.4878</ns0:v>
      </ns0:c>
      <ns0:c r="C10" s="69" t="n">
        <ns0:v>-0.4887</ns0:v>
      </ns0:c>
      <ns0:c r="D10" s="70" t="n">
        <ns0:v>0.7323</ns0:v>
      </ns0:c>
      <ns0:c r="E10" s="69" t="n">
        <ns0:v>1.0248</ns0:v>
      </ns0:c>
    </ns0:row>
    <ns0:row r="11" ht="23" customHeight="1">
      <ns0:c r="A11" s="28" t="inlineStr">
        <ns0:is>
          <ns0:t>میوه</ns0:t>
        </ns0:is>
      </ns0:c>
      <ns0:c r="B11" s="68" t="n">
        <ns0:v>-1.0658</ns0:v>
      </ns0:c>
      <ns0:c r="C11" s="69" t="n">
        <ns0:v>-1.0593</ns0:v>
      </ns0:c>
      <ns0:c r="D11" s="70" t="n">
        <ns0:v>1.3137</ns0:v>
      </ns0:c>
      <ns0:c r="E11" s="69" t="n">
        <ns0:v>1.3377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-0.417</ns0:v>
      </ns0:c>
      <ns0:c r="C12" s="69" t="n">
        <ns0:v>-0.4035</ns0:v>
      </ns0:c>
      <ns0:c r="D12" s="70" t="n">
        <ns0:v>0.7036</ns0:v>
      </ns0:c>
      <ns0:c r="E12" s="69" t="n">
        <ns0:v>0.6211</ns0:v>
      </ns0:c>
    </ns0:row>
    <ns0:row r="13" ht="23" customHeight="1">
      <ns0:c r="A13" s="28" t="inlineStr">
        <ns0:is>
          <ns0:t>حبوبات</ns0:t>
        </ns0:is>
      </ns0:c>
      <ns0:c r="B13" s="68" t="n">
        <ns0:v>-0.6823</ns0:v>
      </ns0:c>
      <ns0:c r="C13" s="69" t="n">
        <ns0:v>-0.7088</ns0:v>
      </ns0:c>
      <ns0:c r="D13" s="70" t="n">
        <ns0:v>0.9442</ns0:v>
      </ns0:c>
      <ns0:c r="E13" s="69" t="n">
        <ns0:v>1.2202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-1.0033</ns0:v>
      </ns0:c>
      <ns0:c r="C14" s="69" t="n">
        <ns0:v>-1.0109</ns0:v>
      </ns0:c>
      <ns0:c r="D14" s="70" t="n">
        <ns0:v>2.153</ns0:v>
      </ns0:c>
      <ns0:c r="E14" s="69" t="n">
        <ns0:v>1.6993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-0.4813</ns0:v>
      </ns0:c>
      <ns0:c r="C15" s="69" t="n">
        <ns0:v>-0.4791</ns0:v>
      </ns0:c>
      <ns0:c r="D15" s="70" t="n">
        <ns0:v>0.9631999999999999</ns0:v>
      </ns0:c>
      <ns0:c r="E15" s="69" t="n">
        <ns0:v>0.9334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-0.8298</ns0:v>
      </ns0:c>
      <ns0:c r="C16" s="69" t="n">
        <ns0:v>-0.8388</ns0:v>
      </ns0:c>
      <ns0:c r="D16" s="70" t="n">
        <ns0:v>0.8310999999999999</ns0:v>
      </ns0:c>
      <ns0:c r="E16" s="69" t="n">
        <ns0:v>1.0044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-0.3724</ns0:v>
      </ns0:c>
      <ns0:c r="C17" s="69" t="n">
        <ns0:v>-0.3712</ns0:v>
      </ns0:c>
      <ns0:c r="D17" s="70" t="n">
        <ns0:v>0.7801</ns0:v>
      </ns0:c>
      <ns0:c r="E17" s="69" t="n">
        <ns0:v>0.6057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-1.073682922713342</ns0:v>
      </ns0:c>
      <ns0:c r="C26" s="75" t="n">
        <ns0:v>-0.001939268103841278</ns0:v>
      </ns0:c>
      <ns0:c r="D26" s="75" t="n">
        <ns0:v>-0.09402451117087697</ns0:v>
      </ns0:c>
      <ns0:c r="E26" s="75" t="n">
        <ns0:v>0.01634108983106885</ns0:v>
      </ns0:c>
      <ns0:c r="F26" s="75" t="n">
        <ns0:v>-0.04340530665782825</ns0:v>
      </ns0:c>
      <ns0:c r="G26" s="75" t="n">
        <ns0:v>-0.07447002739999928</ns0:v>
      </ns0:c>
      <ns0:c r="H26" s="75" t="n">
        <ns0:v>-0.09079983346596925</ns0:v>
      </ns0:c>
      <ns0:c r="I26" s="75" t="n">
        <ns0:v>-0.03943570147562025</ns0:v>
      </ns0:c>
      <ns0:c r="J26" s="75" t="n">
        <ns0:v>-0.01800924871592101</ns0:v>
      </ns0:c>
      <ns0:c r="K26" s="75" t="n">
        <ns0:v>-0.08199695164154619</ns0:v>
      </ns0:c>
      <ns0:c r="L26" s="75" t="n">
        <ns0:v>-0.120161061700695</ns0:v>
      </ns0:c>
      <ns0:c r="M26" s="75" t="n">
        <ns0:v>0.04417684302575217</ns0:v>
      </ns0:c>
    </ns0:row>
    <ns0:row r="27" ht="30" customHeight="1">
      <ns0:c r="A27" s="73" t="inlineStr">
        <ns0:is>
          <ns0:t>نان و غلات</ns0:t>
        </ns0:is>
      </ns0:c>
      <ns0:c r="B27" s="75" t="n">
        <ns0:v>0.09993105519152753</ns0:v>
      </ns0:c>
      <ns0:c r="C27" s="74" t="n">
        <ns0:v>-0.6974919974955895</ns0:v>
      </ns0:c>
      <ns0:c r="D27" s="75" t="n">
        <ns0:v>0.1589681227886186</ns0:v>
      </ns0:c>
      <ns0:c r="E27" s="75" t="n">
        <ns0:v>-0.1108909800197293</ns0:v>
      </ns0:c>
      <ns0:c r="F27" s="75" t="n">
        <ns0:v>-0.006003424369209662</ns0:v>
      </ns0:c>
      <ns0:c r="G27" s="75" t="n">
        <ns0:v>0.01924672508461112</ns0:v>
      </ns0:c>
      <ns0:c r="H27" s="75" t="n">
        <ns0:v>-0.07951427550182494</ns0:v>
      </ns0:c>
      <ns0:c r="I27" s="75" t="n">
        <ns0:v>0.02162533339988312</ns0:v>
      </ns0:c>
      <ns0:c r="J27" s="75" t="n">
        <ns0:v>0.02922240557132594</ns0:v>
      </ns0:c>
      <ns0:c r="K27" s="75" t="n">
        <ns0:v>0.005766067034085207</ns0:v>
      </ns0:c>
      <ns0:c r="L27" s="75" t="n">
        <ns0:v>0.06592521706178238</ns0:v>
      </ns0:c>
      <ns0:c r="M27" s="75" t="n">
        <ns0:v>-0.0423513947600276</ns0:v>
      </ns0:c>
    </ns0:row>
    <ns0:row r="28" ht="30" customHeight="1">
      <ns0:c r="A28" s="73" t="inlineStr">
        <ns0:is>
          <ns0:t>گوشت</ns0:t>
        </ns0:is>
      </ns0:c>
      <ns0:c r="B28" s="75" t="n">
        <ns0:v>0.003589346325756835</ns0:v>
      </ns0:c>
      <ns0:c r="C28" s="75" t="n">
        <ns0:v>0.02058011875520177</ns0:v>
      </ns0:c>
      <ns0:c r="D28" s="74" t="n">
        <ns0:v>-0.9093481987633159</ns0:v>
      </ns0:c>
      <ns0:c r="E28" s="75" t="n">
        <ns0:v>-0.0127159441365961</ns0:v>
      </ns0:c>
      <ns0:c r="F28" s="75" t="n">
        <ns0:v>-0.08770458457501386</ns0:v>
      </ns0:c>
      <ns0:c r="G28" s="75" t="n">
        <ns0:v>-0.004021091335226355</ns0:v>
      </ns0:c>
      <ns0:c r="H28" s="75" t="n">
        <ns0:v>-0.09104047567979963</ns0:v>
      </ns0:c>
      <ns0:c r="I28" s="75" t="n">
        <ns0:v>-0.02084593947065666</ns0:v>
      </ns0:c>
      <ns0:c r="J28" s="75" t="n">
        <ns0:v>-0.04143099536033323</ns0:v>
      </ns0:c>
      <ns0:c r="K28" s="75" t="n">
        <ns0:v>0.005780231121696882</ns0:v>
      </ns0:c>
      <ns0:c r="L28" s="75" t="n">
        <ns0:v>-0.04893142977627626</ns0:v>
      </ns0:c>
      <ns0:c r="M28" s="75" t="n">
        <ns0:v>-0.04565039133362288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0.1107357157615128</ns0:v>
      </ns0:c>
      <ns0:c r="C29" s="75" t="n">
        <ns0:v>-0.1855292309040526</ns0:v>
      </ns0:c>
      <ns0:c r="D29" s="75" t="n">
        <ns0:v>0.05635822997122825</ns0:v>
      </ns0:c>
      <ns0:c r="E29" s="74" t="n">
        <ns0:v>-0.7907620323214836</ns0:v>
      </ns0:c>
      <ns0:c r="F29" s="75" t="n">
        <ns0:v>0.002192022205005076</ns0:v>
      </ns0:c>
      <ns0:c r="G29" s="75" t="n">
        <ns0:v>0.03558916527455392</ns0:v>
      </ns0:c>
      <ns0:c r="H29" s="75" t="n">
        <ns0:v>-0.1609451055923122</ns0:v>
      </ns0:c>
      <ns0:c r="I29" s="75" t="n">
        <ns0:v>0.04501977802728208</ns0:v>
      </ns0:c>
      <ns0:c r="J29" s="75" t="n">
        <ns0:v>0.09063351466393324</ns0:v>
      </ns0:c>
      <ns0:c r="K29" s="75" t="n">
        <ns0:v>-0.04942872732369654</ns0:v>
      </ns0:c>
      <ns0:c r="L29" s="75" t="n">
        <ns0:v>0.1142397777224339</ns0:v>
      </ns0:c>
      <ns0:c r="M29" s="75" t="n">
        <ns0:v>-0.1237956413184057</ns0:v>
      </ns0:c>
    </ns0:row>
    <ns0:row r="30" ht="30" customHeight="1">
      <ns0:c r="A30" s="73" t="inlineStr">
        <ns0:is>
          <ns0:t>روغن و چربی</ns0:t>
        </ns0:is>
      </ns0:c>
      <ns0:c r="B30" s="75" t="n">
        <ns0:v>0.01758869748929463</ns0:v>
      </ns0:c>
      <ns0:c r="C30" s="75" t="n">
        <ns0:v>-0.01718096513379306</ns0:v>
      </ns0:c>
      <ns0:c r="D30" s="75" t="n">
        <ns0:v>-0.1732175561874522</ns0:v>
      </ns0:c>
      <ns0:c r="E30" s="75" t="n">
        <ns0:v>0.126363246573204</ns0:v>
      </ns0:c>
      <ns0:c r="F30" s="74" t="n">
        <ns0:v>-0.4878001336928847</ns0:v>
      </ns0:c>
      <ns0:c r="G30" s="75" t="n">
        <ns0:v>-0.03740229712048989</ns0:v>
      </ns0:c>
      <ns0:c r="H30" s="75" t="n">
        <ns0:v>-0.06314164957082363</ns0:v>
      </ns0:c>
      <ns0:c r="I30" s="75" t="n">
        <ns0:v>-0.095449190537768</ns0:v>
      </ns0:c>
      <ns0:c r="J30" s="75" t="n">
        <ns0:v>0.05921608510711358</ns0:v>
      </ns0:c>
      <ns0:c r="K30" s="75" t="n">
        <ns0:v>-0.01240104521309114</ns0:v>
      </ns0:c>
      <ns0:c r="L30" s="75" t="n">
        <ns0:v>-0.0678895027745056</ns0:v>
      </ns0:c>
      <ns0:c r="M30" s="75" t="n">
        <ns0:v>-0.005456807330455373</ns0:v>
      </ns0:c>
    </ns0:row>
    <ns0:row r="31" ht="30" customHeight="1">
      <ns0:c r="A31" s="73" t="inlineStr">
        <ns0:is>
          <ns0:t>میوه</ns0:t>
        </ns0:is>
      </ns0:c>
      <ns0:c r="B31" s="75" t="n">
        <ns0:v>-0.1688114946925318</ns0:v>
      </ns0:c>
      <ns0:c r="C31" s="75" t="n">
        <ns0:v>0.003327064549193813</ns0:v>
      </ns0:c>
      <ns0:c r="D31" s="75" t="n">
        <ns0:v>-0.003012146746110288</ns0:v>
      </ns0:c>
      <ns0:c r="E31" s="75" t="n">
        <ns0:v>0.05715421535209596</ns0:v>
      </ns0:c>
      <ns0:c r="F31" s="75" t="n">
        <ns0:v>-0.09103710422410141</ns0:v>
      </ns0:c>
      <ns0:c r="G31" s="74" t="n">
        <ns0:v>-1.065752319664449</ns0:v>
      </ns0:c>
      <ns0:c r="H31" s="75" t="n">
        <ns0:v>0.1332394074969572</ns0:v>
      </ns0:c>
      <ns0:c r="I31" s="75" t="n">
        <ns0:v>-0.04843074664957804</ns0:v>
      </ns0:c>
      <ns0:c r="J31" s="75" t="n">
        <ns0:v>-0.2058666322562608</ns0:v>
      </ns0:c>
      <ns0:c r="K31" s="75" t="n">
        <ns0:v>0.0586315249901497</ns0:v>
      </ns0:c>
      <ns0:c r="L31" s="75" t="n">
        <ns0:v>-0.02885557969452922</ns0:v>
      </ns0:c>
      <ns0:c r="M31" s="75" t="n">
        <ns0:v>0.03250044443883121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-0.01623017141289882</ns0:v>
      </ns0:c>
      <ns0:c r="C32" s="75" t="n">
        <ns0:v>-0.1265881883545648</ns0:v>
      </ns0:c>
      <ns0:c r="D32" s="75" t="n">
        <ns0:v>-0.09479672732062921</ns0:v>
      </ns0:c>
      <ns0:c r="E32" s="75" t="n">
        <ns0:v>-0.1617711402316479</ns0:v>
      </ns0:c>
      <ns0:c r="F32" s="75" t="n">
        <ns0:v>0.004655622060266226</ns0:v>
      </ns0:c>
      <ns0:c r="G32" s="75" t="n">
        <ns0:v>0.05950783872328221</ns0:v>
      </ns0:c>
      <ns0:c r="H32" s="74" t="n">
        <ns0:v>-0.4170181458674507</ns0:v>
      </ns0:c>
      <ns0:c r="I32" s="75" t="n">
        <ns0:v>0.004746792349491958</ns0:v>
      </ns0:c>
      <ns0:c r="J32" s="75" t="n">
        <ns0:v>0.009747954198263383</ns0:v>
      </ns0:c>
      <ns0:c r="K32" s="75" t="n">
        <ns0:v>-0.07867526599431207</ns0:v>
      </ns0:c>
      <ns0:c r="L32" s="75" t="n">
        <ns0:v>0.06772170517956275</ns0:v>
      </ns0:c>
      <ns0:c r="M32" s="75" t="n">
        <ns0:v>-0.0117335778903607</ns0:v>
      </ns0:c>
    </ns0:row>
    <ns0:row r="33" ht="30" customHeight="1">
      <ns0:c r="A33" s="73" t="inlineStr">
        <ns0:is>
          <ns0:t>حبوبات</ns0:t>
        </ns0:is>
      </ns0:c>
      <ns0:c r="B33" s="75" t="n">
        <ns0:v>-0.06958116590213152</ns0:v>
      </ns0:c>
      <ns0:c r="C33" s="75" t="n">
        <ns0:v>0.03631780736874614</ns0:v>
      </ns0:c>
      <ns0:c r="D33" s="75" t="n">
        <ns0:v>0.05563019828021936</ns0:v>
      </ns0:c>
      <ns0:c r="E33" s="75" t="n">
        <ns0:v>0.2732660881224577</ns0:v>
      </ns0:c>
      <ns0:c r="F33" s="75" t="n">
        <ns0:v>-0.09501198029785905</ns0:v>
      </ns0:c>
      <ns0:c r="G33" s="75" t="n">
        <ns0:v>-0.05740774298377962</ns0:v>
      </ns0:c>
      <ns0:c r="H33" s="75" t="n">
        <ns0:v>-0.1220193583747448</ns0:v>
      </ns0:c>
      <ns0:c r="I33" s="74" t="n">
        <ns0:v>-0.6822668887963074</ns0:v>
      </ns0:c>
      <ns0:c r="J33" s="75" t="n">
        <ns0:v>-0.1231633750563632</ns0:v>
      </ns0:c>
      <ns0:c r="K33" s="75" t="n">
        <ns0:v>-0.1735866725214839</ns0:v>
      </ns0:c>
      <ns0:c r="L33" s="75" t="n">
        <ns0:v>0.03765037933737923</ns0:v>
      </ns0:c>
      <ns0:c r="M33" s="75" t="n">
        <ns0:v>0.008520343164955023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-0.1744186101326534</ns0:v>
      </ns0:c>
      <ns0:c r="C34" s="75" t="n">
        <ns0:v>-0.08621253813222789</ns0:v>
      </ns0:c>
      <ns0:c r="D34" s="75" t="n">
        <ns0:v>-0.351318537449841</ns0:v>
      </ns0:c>
      <ns0:c r="E34" s="75" t="n">
        <ns0:v>0.06717055768723677</ns0:v>
      </ns0:c>
      <ns0:c r="F34" s="75" t="n">
        <ns0:v>-0.001129360914765403</ns0:v>
      </ns0:c>
      <ns0:c r="G34" s="75" t="n">
        <ns0:v>-0.2020771556028612</ns0:v>
      </ns0:c>
      <ns0:c r="H34" s="75" t="n">
        <ns0:v>-0.1565231340577245</ns0:v>
      </ns0:c>
      <ns0:c r="I34" s="75" t="n">
        <ns0:v>-0.1343096679038512</ns0:v>
      </ns0:c>
      <ns0:c r="J34" s="74" t="n">
        <ns0:v>-1.003261623310895</ns0:v>
      </ns0:c>
      <ns0:c r="K34" s="75" t="n">
        <ns0:v>-0.09039904440995984</ns0:v>
      </ns0:c>
      <ns0:c r="L34" s="75" t="n">
        <ns0:v>-0.1922560946466911</ns0:v>
      </ns0:c>
      <ns0:c r="M34" s="75" t="n">
        <ns0:v>0.02407357733473901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-0.1358316430240552</ns0:v>
      </ns0:c>
      <ns0:c r="C35" s="75" t="n">
        <ns0:v>-0.06712698586433609</ns0:v>
      </ns0:c>
      <ns0:c r="D35" s="75" t="n">
        <ns0:v>0.02310524776189628</ns0:v>
      </ns0:c>
      <ns0:c r="E35" s="75" t="n">
        <ns0:v>-0.1179914034270268</ns0:v>
      </ns0:c>
      <ns0:c r="F35" s="75" t="n">
        <ns0:v>-0.01542591051368616</ns0:v>
      </ns0:c>
      <ns0:c r="G35" s="75" t="n">
        <ns0:v>0.05688130301784031</ns0:v>
      </ns0:c>
      <ns0:c r="H35" s="75" t="n">
        <ns0:v>-0.1145530297579812</ns0:v>
      </ns0:c>
      <ns0:c r="I35" s="75" t="n">
        <ns0:v>-0.04357908428844139</ns0:v>
      </ns0:c>
      <ns0:c r="J35" s="75" t="n">
        <ns0:v>-0.02633962835468132</ns0:v>
      </ns0:c>
      <ns0:c r="K35" s="74" t="n">
        <ns0:v>-0.4812616552390884</ns0:v>
      </ns0:c>
      <ns0:c r="L35" s="75" t="n">
        <ns0:v>-0.06538462510673883</ns0:v>
      </ns0:c>
      <ns0:c r="M35" s="75" t="n">
        <ns0:v>-0.0008068160822999673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-0.2280462774255112</ns0:v>
      </ns0:c>
      <ns0:c r="C36" s="75" t="n">
        <ns0:v>0.180121058228615</ns0:v>
      </ns0:c>
      <ns0:c r="D36" s="75" t="n">
        <ns0:v>-0.0678286073161912</ns0:v>
      </ns0:c>
      <ns0:c r="E36" s="75" t="n">
        <ns0:v>0.2785130621794715</ns0:v>
      </ns0:c>
      <ns0:c r="F36" s="75" t="n">
        <ns0:v>-0.08927034092478671</ns0:v>
      </ns0:c>
      <ns0:c r="G36" s="75" t="n">
        <ns0:v>-0.02262920722863964</ns0:v>
      </ns0:c>
      <ns0:c r="H36" s="75" t="n">
        <ns0:v>0.1639679907500327</ns0:v>
      </ns0:c>
      <ns0:c r="I36" s="75" t="n">
        <ns0:v>0.07079126584231699</ns0:v>
      </ns0:c>
      <ns0:c r="J36" s="75" t="n">
        <ns0:v>-0.1106427488004366</ns0:v>
      </ns0:c>
      <ns0:c r="K36" s="75" t="n">
        <ns0:v>-0.1726254326090093</ns0:v>
      </ns0:c>
      <ns0:c r="L36" s="74" t="n">
        <ns0:v>-0.8297666762990327</ns0:v>
      </ns0:c>
      <ns0:c r="M36" s="75" t="n">
        <ns0:v>0.0633766580978956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0.2486792320416875</ns0:v>
      </ns0:c>
      <ns0:c r="C37" s="75" t="n">
        <ns0:v>-0.1461827900584375</ns0:v>
      </ns0:c>
      <ns0:c r="D37" s="75" t="n">
        <ns0:v>-0.1887718051920737</ns0:v>
      </ns0:c>
      <ns0:c r="E37" s="75" t="n">
        <ns0:v>-0.3750749030524438</ns0:v>
      </ns0:c>
      <ns0:c r="F37" s="75" t="n">
        <ns0:v>-0.0456610893423546</ns0:v>
      </ns0:c>
      <ns0:c r="G37" s="75" t="n">
        <ns0:v>0.06775473391571064</ns0:v>
      </ns0:c>
      <ns0:c r="H37" s="75" t="n">
        <ns0:v>-0.1134947719021927</ns0:v>
      </ns0:c>
      <ns0:c r="I37" s="75" t="n">
        <ns0:v>-0.03766353519883392</ns0:v>
      </ns0:c>
      <ns0:c r="J37" s="75" t="n">
        <ns0:v>0.2115340264948147</ns0:v>
      </ns0:c>
      <ns0:c r="K37" s="75" t="n">
        <ns0:v>-0.04758820123726793</ns0:v>
      </ns0:c>
      <ns0:c r="L37" s="75" t="n">
        <ns0:v>0.02727638473032264</ns0:v>
      </ns0:c>
      <ns0:c r="M37" s="74" t="n">
        <ns0:v>-0.3723837059397955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-1.070503601200421</ns0:v>
      </ns0:c>
      <ns0:c r="C42" s="78" t="n">
        <ns0:v>-0.01842382424068738</ns0:v>
      </ns0:c>
      <ns0:c r="D42" s="78" t="n">
        <ns0:v>-0.1057152841752501</ns0:v>
      </ns0:c>
      <ns0:c r="E42" s="78" t="n">
        <ns0:v>0.009562925287448574</ns0:v>
      </ns0:c>
      <ns0:c r="F42" s="78" t="n">
        <ns0:v>-0.03811805713491546</ns0:v>
      </ns0:c>
      <ns0:c r="G42" s="78" t="n">
        <ns0:v>-0.07548963173528421</ns0:v>
      </ns0:c>
      <ns0:c r="H42" s="78" t="n">
        <ns0:v>-0.1006372044741739</ns0:v>
      </ns0:c>
      <ns0:c r="I42" s="78" t="n">
        <ns0:v>-0.0396382302459139</ns0:v>
      </ns0:c>
      <ns0:c r="J42" s="78" t="n">
        <ns0:v>-0.02091608034390736</ns0:v>
      </ns0:c>
      <ns0:c r="K42" s="78" t="n">
        <ns0:v>-0.08093727661019784</ns0:v>
      </ns0:c>
      <ns0:c r="L42" s="78" t="n">
        <ns0:v>-0.1234059826236252</ns0:v>
      </ns0:c>
      <ns0:c r="M42" s="78" t="n">
        <ns0:v>0.04165690924260685</ns0:v>
      </ns0:c>
    </ns0:row>
    <ns0:row r="43" ht="30" customHeight="1">
      <ns0:c r="A43" s="73" t="inlineStr">
        <ns0:is>
          <ns0:t>نان و غلات</ns0:t>
        </ns0:is>
      </ns0:c>
      <ns0:c r="B43" s="78" t="n">
        <ns0:v>0.09595093039915596</ns0:v>
      </ns0:c>
      <ns0:c r="C43" s="77" t="n">
        <ns0:v>-0.6661327374782655</ns0:v>
      </ns0:c>
      <ns0:c r="D43" s="78" t="n">
        <ns0:v>0.1765755033032627</ns0:v>
      </ns0:c>
      <ns0:c r="E43" s="78" t="n">
        <ns0:v>-0.09437868334095836</ns0:v>
      </ns0:c>
      <ns0:c r="F43" s="78" t="n">
        <ns0:v>-0.01861453856793689</ns0:v>
      </ns0:c>
      <ns0:c r="G43" s="78" t="n">
        <ns0:v>0.02053703479166967</ns0:v>
      </ns0:c>
      <ns0:c r="H43" s="78" t="n">
        <ns0:v>-0.06560520050398028</ns0:v>
      </ns0:c>
      <ns0:c r="I43" s="78" t="n">
        <ns0:v>0.02518664698620154</ns0:v>
      </ns0:c>
      <ns0:c r="J43" s="78" t="n">
        <ns0:v>0.04072888811580952</ns0:v>
      </ns0:c>
      <ns0:c r="K43" s="78" t="n">
        <ns0:v>0.008440662920352924</ns0:v>
      </ns0:c>
      <ns0:c r="L43" s="78" t="n">
        <ns0:v>0.07204611653017225</ns0:v>
      </ns0:c>
      <ns0:c r="M43" s="78" t="n">
        <ns0:v>-0.03517391127420676</ns0:v>
      </ns0:c>
    </ns0:row>
    <ns0:row r="44" ht="30" customHeight="1">
      <ns0:c r="A44" s="73" t="inlineStr">
        <ns0:is>
          <ns0:t>گوشت</ns0:t>
        </ns0:is>
      </ns0:c>
      <ns0:c r="B44" s="78" t="n">
        <ns0:v>0.0007587044895981638</ns0:v>
      </ns0:c>
      <ns0:c r="C44" s="78" t="n">
        <ns0:v>0.01588929311389239</ns0:v>
      </ns0:c>
      <ns0:c r="D44" s="77" t="n">
        <ns0:v>-0.9202775173490304</ns0:v>
      </ns0:c>
      <ns0:c r="E44" s="78" t="n">
        <ns0:v>-0.01832743299600474</ns0:v>
      </ns0:c>
      <ns0:c r="F44" s="78" t="n">
        <ns0:v>-0.0772711030195168</ns0:v>
      </ns0:c>
      <ns0:c r="G44" s="78" t="n">
        <ns0:v>-0.002610104950949189</ns0:v>
      </ns0:c>
      <ns0:c r="H44" s="78" t="n">
        <ns0:v>-0.09320738024708064</ns0:v>
      </ns0:c>
      <ns0:c r="I44" s="78" t="n">
        <ns0:v>-0.02092032470959057</ns0:v>
      </ns0:c>
      <ns0:c r="J44" s="78" t="n">
        <ns0:v>-0.04351229213022619</ns0:v>
      </ns0:c>
      <ns0:c r="K44" s="78" t="n">
        <ns0:v>0.0001634294484798176</ns0:v>
      </ns0:c>
      <ns0:c r="L44" s="78" t="n">
        <ns0:v>-0.0470725562698486</ns0:v>
      </ns0:c>
      <ns0:c r="M44" s="78" t="n">
        <ns0:v>-0.0469351368023986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0.1120019391484921</ns0:v>
      </ns0:c>
      <ns0:c r="C45" s="78" t="n">
        <ns0:v>-0.1757006617895806</ns0:v>
      </ns0:c>
      <ns0:c r="D45" s="78" t="n">
        <ns0:v>0.05629853176548257</ns0:v>
      </ns0:c>
      <ns0:c r="E45" s="77" t="n">
        <ns0:v>-0.7842351912639178</ns0:v>
      </ns0:c>
      <ns0:c r="F45" s="78" t="n">
        <ns0:v>-0.01316190299146498</ns0:v>
      </ns0:c>
      <ns0:c r="G45" s="78" t="n">
        <ns0:v>0.03526082801840966</ns0:v>
      </ns0:c>
      <ns0:c r="H45" s="78" t="n">
        <ns0:v>-0.1545339931136766</ns0:v>
      </ns0:c>
      <ns0:c r="I45" s="78" t="n">
        <ns0:v>0.04518104645382114</ns0:v>
      </ns0:c>
      <ns0:c r="J45" s="78" t="n">
        <ns0:v>0.1088423340342481</ns0:v>
      </ns0:c>
      <ns0:c r="K45" s="78" t="n">
        <ns0:v>-0.0542089811128853</ns0:v>
      </ns0:c>
      <ns0:c r="L45" s="78" t="n">
        <ns0:v>0.1133133791609397</ns0:v>
      </ns0:c>
      <ns0:c r="M45" s="78" t="n">
        <ns0:v>-0.118210474879811</ns0:v>
      </ns0:c>
    </ns0:row>
    <ns0:row r="46" ht="30" customHeight="1">
      <ns0:c r="A46" s="73" t="inlineStr">
        <ns0:is>
          <ns0:t>روغن و چربی</ns0:t>
        </ns0:is>
      </ns0:c>
      <ns0:c r="B46" s="78" t="n">
        <ns0:v>0.01304064903029493</ns0:v>
      </ns0:c>
      <ns0:c r="C46" s="78" t="n">
        <ns0:v>-0.08929552698623479</ns0:v>
      </ns0:c>
      <ns0:c r="D46" s="78" t="n">
        <ns0:v>-0.201576310523433</ns0:v>
      </ns0:c>
      <ns0:c r="E46" s="78" t="n">
        <ns0:v>0.07177280405340362</ns0:v>
      </ns0:c>
      <ns0:c r="F46" s="77" t="n">
        <ns0:v>-0.4886658358612256</ns0:v>
      </ns0:c>
      <ns0:c r="G46" s="78" t="n">
        <ns0:v>-0.05053136645227137</ns0:v>
      </ns0:c>
      <ns0:c r="H46" s="78" t="n">
        <ns0:v>-0.1097527094330929</ns0:v>
      </ns0:c>
      <ns0:c r="I46" s="78" t="n">
        <ns0:v>-0.114217842488946</ns0:v>
      </ns0:c>
      <ns0:c r="J46" s="78" t="n">
        <ns0:v>0.03355748205098249</ns0:v>
      </ns0:c>
      <ns0:c r="K46" s="78" t="n">
        <ns0:v>-0.01457313626954844</ns0:v>
      </ns0:c>
      <ns0:c r="L46" s="78" t="n">
        <ns0:v>-0.08260306871617816</ns0:v>
      </ns0:c>
      <ns0:c r="M46" s="78" t="n">
        <ns0:v>-0.01977794196663635</ns0:v>
      </ns0:c>
    </ns0:row>
    <ns0:row r="47" ht="30" customHeight="1">
      <ns0:c r="A47" s="73" t="inlineStr">
        <ns0:is>
          <ns0:t>میوه</ns0:t>
        </ns0:is>
      </ns0:c>
      <ns0:c r="B47" s="78" t="n">
        <ns0:v>-0.1699027139083269</ns0:v>
      </ns0:c>
      <ns0:c r="C47" s="78" t="n">
        <ns0:v>-0.006852439551526732</ns0:v>
      </ns0:c>
      <ns0:c r="D47" s="78" t="n">
        <ns0:v>0.003056616313686839</ns0:v>
      </ns0:c>
      <ns0:c r="E47" s="78" t="n">
        <ns0:v>0.05373654970227685</ns0:v>
      </ns0:c>
      <ns0:c r="F47" s="78" t="n">
        <ns0:v>-0.09698257217465055</ns0:v>
      </ns0:c>
      <ns0:c r="G47" s="77" t="n">
        <ns0:v>-1.059349459451602</ns0:v>
      </ns0:c>
      <ns0:c r="H47" s="78" t="n">
        <ns0:v>0.1238674125200964</ns0:v>
      </ns0:c>
      <ns0:c r="I47" s="78" t="n">
        <ns0:v>-0.04958846037671837</ns0:v>
      </ns0:c>
      <ns0:c r="J47" s="78" t="n">
        <ns0:v>-0.210137849083534</ns0:v>
      </ns0:c>
      <ns0:c r="K47" s="78" t="n">
        <ns0:v>0.05703467352856755</ns0:v>
      </ns0:c>
      <ns0:c r="L47" s="78" t="n">
        <ns0:v>-0.02851834390294201</ns0:v>
      </ns0:c>
      <ns0:c r="M47" s="78" t="n">
        <ns0:v>0.02956008598883944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-0.0154129262455366</ns0:v>
      </ns0:c>
      <ns0:c r="C48" s="78" t="n">
        <ns0:v>-0.1126369678940918</ns0:v>
      </ns0:c>
      <ns0:c r="D48" s="78" t="n">
        <ns0:v>-0.07587138504234088</ns0:v>
      </ns0:c>
      <ns0:c r="E48" s="78" t="n">
        <ns0:v>-0.1475886987731768</ns0:v>
      </ns0:c>
      <ns0:c r="F48" s="78" t="n">
        <ns0:v>0.004234599430588929</ns0:v>
      </ns0:c>
      <ns0:c r="G48" s="78" t="n">
        <ns0:v>0.06081695234685492</ns0:v>
      </ns0:c>
      <ns0:c r="H48" s="77" t="n">
        <ns0:v>-0.403495205837938</ns0:v>
      </ns0:c>
      <ns0:c r="I48" s="78" t="n">
        <ns0:v>0.009717866394781782</ns0:v>
      </ns0:c>
      <ns0:c r="J48" s="78" t="n">
        <ns0:v>0.008349812958475518</ns0:v>
      </ns0:c>
      <ns0:c r="K48" s="78" t="n">
        <ns0:v>-0.07094364117504703</ns0:v>
      </ns0:c>
      <ns0:c r="L48" s="78" t="n">
        <ns0:v>0.06929080749513877</ns0:v>
      </ns0:c>
      <ns0:c r="M48" s="78" t="n">
        <ns0:v>-0.007459528563141745</ns0:v>
      </ns0:c>
    </ns0:row>
    <ns0:row r="49" ht="30" customHeight="1">
      <ns0:c r="A49" s="73" t="inlineStr">
        <ns0:is>
          <ns0:t>حبوبات</ns0:t>
        </ns0:is>
      </ns0:c>
      <ns0:c r="B49" s="78" t="n">
        <ns0:v>-0.08466474016913886</ns0:v>
      </ns0:c>
      <ns0:c r="C49" s="78" t="n">
        <ns0:v>-0.006036092730383305</ns0:v>
      </ns0:c>
      <ns0:c r="D49" s="78" t="n">
        <ns0:v>-9.021234743895713e-05</ns0:v>
      </ns0:c>
      <ns0:c r="E49" s="78" t="n">
        <ns0:v>0.2278855058926925</ns0:v>
      </ns0:c>
      <ns0:c r="F49" s="78" t="n">
        <ns0:v>-0.1105382222388455</ns0:v>
      </ns0:c>
      <ns0:c r="G49" s="78" t="n">
        <ns0:v>-0.07111461084648384</ns0:v>
      </ns0:c>
      <ns0:c r="H49" s="78" t="n">
        <ns0:v>-0.1481026034007329</ns0:v>
      </ns0:c>
      <ns0:c r="I49" s="77" t="n">
        <ns0:v>-0.7088138789058592</ns0:v>
      </ns0:c>
      <ns0:c r="J49" s="78" t="n">
        <ns0:v>-0.1092971160536211</ns0:v>
      </ns0:c>
      <ns0:c r="K49" s="78" t="n">
        <ns0:v>-0.1816645704795445</ns0:v>
      </ns0:c>
      <ns0:c r="L49" s="78" t="n">
        <ns0:v>0.01808504471630197</ns0:v>
      </ns0:c>
      <ns0:c r="M49" s="78" t="n">
        <ns0:v>-0.0008230842304435671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-0.143962449520814</ns0:v>
      </ns0:c>
      <ns0:c r="C50" s="78" t="n">
        <ns0:v>-0.008120067564398073</ns0:v>
      </ns0:c>
      <ns0:c r="D50" s="78" t="n">
        <ns0:v>-0.2599185580910533</ns0:v>
      </ns0:c>
      <ns0:c r="E50" s="78" t="n">
        <ns0:v>0.1514475966911938</ns0:v>
      </ns0:c>
      <ns0:c r="F50" s="78" t="n">
        <ns0:v>0.0174818054825372</ns0:v>
      </ns0:c>
      <ns0:c r="G50" s="78" t="n">
        <ns0:v>-0.1841787156496762</ns0:v>
      </ns0:c>
      <ns0:c r="H50" s="78" t="n">
        <ns0:v>-0.1069986830462349</ns0:v>
      </ns0:c>
      <ns0:c r="I50" s="78" t="n">
        <ns0:v>-0.1026384244175338</ns0:v>
      </ns0:c>
      <ns0:c r="J50" s="77" t="n">
        <ns0:v>-1.010916228865343</ns0:v>
      </ns0:c>
      <ns0:c r="K50" s="78" t="n">
        <ns0:v>-0.07085538496901869</ns0:v>
      </ns0:c>
      <ns0:c r="L50" s="78" t="n">
        <ns0:v>-0.161370531586735</ns0:v>
      </ns0:c>
      <ns0:c r="M50" s="78" t="n">
        <ns0:v>0.03364836420452176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-0.1194880446995811</ns0:v>
      </ns0:c>
      <ns0:c r="C51" s="78" t="n">
        <ns0:v>-0.07057147068952731</ns0:v>
      </ns0:c>
      <ns0:c r="D51" s="78" t="n">
        <ns0:v>0.02205932813445844</ns0:v>
      </ns0:c>
      <ns0:c r="E51" s="78" t="n">
        <ns0:v>-0.1154831686348671</ns0:v>
      </ns0:c>
      <ns0:c r="F51" s="78" t="n">
        <ns0:v>-0.002757974677095398</ns0:v>
      </ns0:c>
      <ns0:c r="G51" s="78" t="n">
        <ns0:v>0.05937634499517425</ns0:v>
      </ns0:c>
      <ns0:c r="H51" s="78" t="n">
        <ns0:v>-0.1116014227237877</ns0:v>
      </ns0:c>
      <ns0:c r="I51" s="78" t="n">
        <ns0:v>-0.0377435088034573</ns0:v>
      </ns0:c>
      <ns0:c r="J51" s="78" t="n">
        <ns0:v>-0.04016769701545522</ns0:v>
      </ns0:c>
      <ns0:c r="K51" s="77" t="n">
        <ns0:v>-0.4790703394874996</ns0:v>
      </ns0:c>
      <ns0:c r="L51" s="78" t="n">
        <ns0:v>-0.06685912881116858</ns0:v>
      </ns0:c>
      <ns0:c r="M51" s="78" t="n">
        <ns0:v>-0.002881092948639348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-0.2474696855987888</ns0:v>
      </ns0:c>
      <ns0:c r="C52" s="78" t="n">
        <ns0:v>0.1588776950197721</ns0:v>
      </ns0:c>
      <ns0:c r="D52" s="78" t="n">
        <ns0:v>-0.09504740921332551</ns0:v>
      </ns0:c>
      <ns0:c r="E52" s="78" t="n">
        <ns0:v>0.2501486322260872</ns0:v>
      </ns0:c>
      <ns0:c r="F52" s="78" t="n">
        <ns0:v>-0.09918532307258258</ns0:v>
      </ns0:c>
      <ns0:c r="G52" s="78" t="n">
        <ns0:v>-0.02981017276168617</ns0:v>
      </ns0:c>
      <ns0:c r="H52" s="78" t="n">
        <ns0:v>0.1394568811249872</ns0:v>
      </ns0:c>
      <ns0:c r="I52" s="78" t="n">
        <ns0:v>0.05738417425798865</ns0:v>
      </ns0:c>
      <ns0:c r="J52" s="78" t="n">
        <ns0:v>-0.1029318206459245</ns0:v>
      </ns0:c>
      <ns0:c r="K52" s="78" t="n">
        <ns0:v>-0.1827246959360112</ns0:v>
      </ns0:c>
      <ns0:c r="L52" s="77" t="n">
        <ns0:v>-0.83882787210287</ns0:v>
      </ns0:c>
      <ns0:c r="M52" s="78" t="n">
        <ns0:v>0.05537360003638421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0.2592678971921125</ns0:v>
      </ns0:c>
      <ns0:c r="C53" s="78" t="n">
        <ns0:v>-0.1076927453466625</ns0:v>
      </ns0:c>
      <ns0:c r="D53" s="78" t="n">
        <ns0:v>-0.1554370888197456</ns0:v>
      </ns0:c>
      <ns0:c r="E53" s="78" t="n">
        <ns0:v>-0.3395430928708398</ns0:v>
      </ns0:c>
      <ns0:c r="F53" s="78" t="n">
        <ns0:v>-0.04274167758543802</ns0:v>
      </ns0:c>
      <ns0:c r="G53" s="78" t="n">
        <ns0:v>0.07344641720470117</ns0:v>
      </ns0:c>
      <ns0:c r="H53" s="78" t="n">
        <ns0:v>-0.08686183000509087</ns0:v>
      </ns0:c>
      <ns0:c r="I53" s="78" t="n">
        <ns0:v>-0.03110245882053547</ns0:v>
      </ns0:c>
      <ns0:c r="J53" s="78" t="n">
        <ns0:v>0.2053462627400461</ns0:v>
      </ns0:c>
      <ns0:c r="K53" s="78" t="n">
        <ns0:v>-0.0368472953919017</ns0:v>
      </ns0:c>
      <ns0:c r="L53" s="78" t="n">
        <ns0:v>0.03477871890054159</ns0:v>
      </ns0:c>
      <ns0:c r="M53" s="77" t="n">
        <ns0:v>-0.3711846083708396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سال 1393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-1.0749</ns0:v>
      </ns0:c>
      <ns0:c r="C6" s="69" t="n">
        <ns0:v>-1.0725</ns0:v>
      </ns0:c>
      <ns0:c r="D6" s="70" t="n">
        <ns0:v>1.5817</ns0:v>
      </ns0:c>
      <ns0:c r="E6" s="69" t="n">
        <ns0:v>1.6301</ns0:v>
      </ns0:c>
    </ns0:row>
    <ns0:row r="7" ht="23" customHeight="1">
      <ns0:c r="A7" s="28" t="inlineStr">
        <ns0:is>
          <ns0:t>نان و غلات</ns0:t>
        </ns0:is>
      </ns0:c>
      <ns0:c r="B7" s="68" t="n">
        <ns0:v>-0.7181999999999999</ns0:v>
      </ns0:c>
      <ns0:c r="C7" s="69" t="n">
        <ns0:v>-0.6892</ns0:v>
      </ns0:c>
      <ns0:c r="D7" s="70" t="n">
        <ns0:v>0.5895</ns0:v>
      </ns0:c>
      <ns0:c r="E7" s="69" t="n">
        <ns0:v>0.5003</ns0:v>
      </ns0:c>
    </ns0:row>
    <ns0:row r="8" ht="23" customHeight="1">
      <ns0:c r="A8" s="28" t="inlineStr">
        <ns0:is>
          <ns0:t>گوشت</ns0:t>
        </ns0:is>
      </ns0:c>
      <ns0:c r="B8" s="68" t="n">
        <ns0:v>-0.9101</ns0:v>
      </ns0:c>
      <ns0:c r="C8" s="69" t="n">
        <ns0:v>-0.9211</ns0:v>
      </ns0:c>
      <ns0:c r="D8" s="70" t="n">
        <ns0:v>1.2325</ns0:v>
      </ns0:c>
      <ns0:c r="E8" s="69" t="n">
        <ns0:v>1.254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-0.793</ns0:v>
      </ns0:c>
      <ns0:c r="C9" s="69" t="n">
        <ns0:v>-0.7866</ns0:v>
      </ns0:c>
      <ns0:c r="D9" s="70" t="n">
        <ns0:v>0.8623</ns0:v>
      </ns0:c>
      <ns0:c r="E9" s="69" t="n">
        <ns0:v>0.836</ns0:v>
      </ns0:c>
    </ns0:row>
    <ns0:row r="10" ht="23" customHeight="1">
      <ns0:c r="A10" s="28" t="inlineStr">
        <ns0:is>
          <ns0:t>روغن و چربی</ns0:t>
        </ns0:is>
      </ns0:c>
      <ns0:c r="B10" s="68" t="n">
        <ns0:v>-0.4478</ns0:v>
      </ns0:c>
      <ns0:c r="C10" s="69" t="n">
        <ns0:v>-0.4458</ns0:v>
      </ns0:c>
      <ns0:c r="D10" s="70" t="n">
        <ns0:v>0.7073</ns0:v>
      </ns0:c>
      <ns0:c r="E10" s="69" t="n">
        <ns0:v>1.0256</ns0:v>
      </ns0:c>
    </ns0:row>
    <ns0:row r="11" ht="23" customHeight="1">
      <ns0:c r="A11" s="28" t="inlineStr">
        <ns0:is>
          <ns0:t>میوه</ns0:t>
        </ns0:is>
      </ns0:c>
      <ns0:c r="B11" s="68" t="n">
        <ns0:v>-1.05</ns0:v>
      </ns0:c>
      <ns0:c r="C11" s="69" t="n">
        <ns0:v>-1.0445</ns0:v>
      </ns0:c>
      <ns0:c r="D11" s="70" t="n">
        <ns0:v>1.274</ns0:v>
      </ns0:c>
      <ns0:c r="E11" s="69" t="n">
        <ns0:v>1.3027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-0.4148</ns0:v>
      </ns0:c>
      <ns0:c r="C12" s="69" t="n">
        <ns0:v>-0.4022</ns0:v>
      </ns0:c>
      <ns0:c r="D12" s="70" t="n">
        <ns0:v>0.7235</ns0:v>
      </ns0:c>
      <ns0:c r="E12" s="69" t="n">
        <ns0:v>0.6509</ns0:v>
      </ns0:c>
    </ns0:row>
    <ns0:row r="13" ht="23" customHeight="1">
      <ns0:c r="A13" s="28" t="inlineStr">
        <ns0:is>
          <ns0:t>حبوبات</ns0:t>
        </ns0:is>
      </ns0:c>
      <ns0:c r="B13" s="68" t="n">
        <ns0:v>-0.6777</ns0:v>
      </ns0:c>
      <ns0:c r="C13" s="69" t="n">
        <ns0:v>-0.703</ns0:v>
      </ns0:c>
      <ns0:c r="D13" s="70" t="n">
        <ns0:v>0.9246</ns0:v>
      </ns0:c>
      <ns0:c r="E13" s="69" t="n">
        <ns0:v>1.1922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-0.99</ns0:v>
      </ns0:c>
      <ns0:c r="C14" s="69" t="n">
        <ns0:v>-0.9969</ns0:v>
      </ns0:c>
      <ns0:c r="D14" s="70" t="n">
        <ns0:v>2.1219</ns0:v>
      </ns0:c>
      <ns0:c r="E14" s="69" t="n">
        <ns0:v>1.6443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-0.4931</ns0:v>
      </ns0:c>
      <ns0:c r="C15" s="69" t="n">
        <ns0:v>-0.4905</ns0:v>
      </ns0:c>
      <ns0:c r="D15" s="70" t="n">
        <ns0:v>0.9664</ns0:v>
      </ns0:c>
      <ns0:c r="E15" s="69" t="n">
        <ns0:v>0.9323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-0.8300999999999999</ns0:v>
      </ns0:c>
      <ns0:c r="C16" s="69" t="n">
        <ns0:v>-0.8393</ns0:v>
      </ns0:c>
      <ns0:c r="D16" s="70" t="n">
        <ns0:v>0.8379</ns0:v>
      </ns0:c>
      <ns0:c r="E16" s="69" t="n">
        <ns0:v>1.018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-0.3922</ns0:v>
      </ns0:c>
      <ns0:c r="C17" s="69" t="n">
        <ns0:v>-0.3899</ns0:v>
      </ns0:c>
      <ns0:c r="D17" s="70" t="n">
        <ns0:v>0.7943</ns0:v>
      </ns0:c>
      <ns0:c r="E17" s="69" t="n">
        <ns0:v>0.6264999999999999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-1.074947683398453</ns0:v>
      </ns0:c>
      <ns0:c r="C26" s="75" t="n">
        <ns0:v>-0.005388902244633739</ns0:v>
      </ns0:c>
      <ns0:c r="D26" s="75" t="n">
        <ns0:v>-0.09645242059725873</ns0:v>
      </ns0:c>
      <ns0:c r="E26" s="75" t="n">
        <ns0:v>0.01917413239028079</ns0:v>
      </ns0:c>
      <ns0:c r="F26" s="75" t="n">
        <ns0:v>-0.03940437856326696</ns0:v>
      </ns0:c>
      <ns0:c r="G26" s="75" t="n">
        <ns0:v>-0.07800267197273204</ns0:v>
      </ns0:c>
      <ns0:c r="H26" s="75" t="n">
        <ns0:v>-0.09001712910378182</ns0:v>
      </ns0:c>
      <ns0:c r="I26" s="75" t="n">
        <ns0:v>-0.0343072646276245</ns0:v>
      </ns0:c>
      <ns0:c r="J26" s="75" t="n">
        <ns0:v>-0.01767049376015</ns0:v>
      </ns0:c>
      <ns0:c r="K26" s="75" t="n">
        <ns0:v>-0.08450729164709493</ns0:v>
      </ns0:c>
      <ns0:c r="L26" s="75" t="n">
        <ns0:v>-0.1211162229906432</ns0:v>
      </ns0:c>
      <ns0:c r="M26" s="75" t="n">
        <ns0:v>0.04423971464952427</ns0:v>
      </ns0:c>
    </ns0:row>
    <ns0:row r="27" ht="30" customHeight="1">
      <ns0:c r="A27" s="73" t="inlineStr">
        <ns0:is>
          <ns0:t>نان و غلات</ns0:t>
        </ns0:is>
      </ns0:c>
      <ns0:c r="B27" s="75" t="n">
        <ns0:v>0.09855644818098869</ns0:v>
      </ns0:c>
      <ns0:c r="C27" s="74" t="n">
        <ns0:v>-0.7182155872921571</ns0:v>
      </ns0:c>
      <ns0:c r="D27" s="75" t="n">
        <ns0:v>0.1584087497642463</ns0:v>
      </ns0:c>
      <ns0:c r="E27" s="75" t="n">
        <ns0:v>-0.1106822221941318</ns0:v>
      </ns0:c>
      <ns0:c r="F27" s="75" t="n">
        <ns0:v>-0.004798329895835083</ns0:v>
      </ns0:c>
      <ns0:c r="G27" s="75" t="n">
        <ns0:v>0.02194163372209942</ns0:v>
      </ns0:c>
      <ns0:c r="H27" s="75" t="n">
        <ns0:v>-0.08228264366681312</ns0:v>
      </ns0:c>
      <ns0:c r="I27" s="75" t="n">
        <ns0:v>0.02358440809829443</ns0:v>
      </ns0:c>
      <ns0:c r="J27" s="75" t="n">
        <ns0:v>0.02672146797378378</ns0:v>
      </ns0:c>
      <ns0:c r="K27" s="75" t="n">
        <ns0:v>-0.005086191094831855</ns0:v>
      </ns0:c>
      <ns0:c r="L27" s="75" t="n">
        <ns0:v>0.06597067714262954</ns0:v>
      </ns0:c>
      <ns0:c r="M27" s="75" t="n">
        <ns0:v>-0.03904918422453783</ns0:v>
      </ns0:c>
    </ns0:row>
    <ns0:row r="28" ht="30" customHeight="1">
      <ns0:c r="A28" s="73" t="inlineStr">
        <ns0:is>
          <ns0:t>گوشت</ns0:t>
        </ns0:is>
      </ns0:c>
      <ns0:c r="B28" s="75" t="n">
        <ns0:v>0.003149314027646377</ns0:v>
      </ns0:c>
      <ns0:c r="C28" s="75" t="n">
        <ns0:v>0.01960019830337189</ns0:v>
      </ns0:c>
      <ns0:c r="D28" s="74" t="n">
        <ns0:v>-0.9100658020331568</ns0:v>
      </ns0:c>
      <ns0:c r="E28" s="75" t="n">
        <ns0:v>-0.01295921638154377</ns0:v>
      </ns0:c>
      <ns0:c r="F28" s="75" t="n">
        <ns0:v>-0.08628962926559493</ns0:v>
      </ns0:c>
      <ns0:c r="G28" s="75" t="n">
        <ns0:v>-0.00451826565612321</ns0:v>
      </ns0:c>
      <ns0:c r="H28" s="75" t="n">
        <ns0:v>-0.09082893656060338</ns0:v>
      </ns0:c>
      <ns0:c r="I28" s="75" t="n">
        <ns0:v>-0.0205229875649587</ns0:v>
      </ns0:c>
      <ns0:c r="J28" s="75" t="n">
        <ns0:v>-0.041804878652644</ns0:v>
      </ns0:c>
      <ns0:c r="K28" s="75" t="n">
        <ns0:v>0.005316907983728999</ns0:v>
      </ns0:c>
      <ns0:c r="L28" s="75" t="n">
        <ns0:v>-0.04841257821959663</ns0:v>
      </ns0:c>
      <ns0:c r="M28" s="75" t="n">
        <ns0:v>-0.04621900587615919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0.1102966826414258</ns0:v>
      </ns0:c>
      <ns0:c r="C29" s="75" t="n">
        <ns0:v>-0.1840449577212987</ns0:v>
      </ns0:c>
      <ns0:c r="D29" s="75" t="n">
        <ns0:v>0.05645098003093541</ns0:v>
      </ns0:c>
      <ns0:c r="E29" s="74" t="n">
        <ns0:v>-0.7929989657971246</ns0:v>
      </ns0:c>
      <ns0:c r="F29" s="75" t="n">
        <ns0:v>0.001530073608525069</ns0:v>
      </ns0:c>
      <ns0:c r="G29" s="75" t="n">
        <ns0:v>0.03539977643455294</ns0:v>
      </ns0:c>
      <ns0:c r="H29" s="75" t="n">
        <ns0:v>-0.1602807562127089</ns0:v>
      </ns0:c>
      <ns0:c r="I29" s="75" t="n">
        <ns0:v>0.04480668049221944</ns0:v>
      </ns0:c>
      <ns0:c r="J29" s="75" t="n">
        <ns0:v>0.09127803579441962</ns0:v>
      </ns0:c>
      <ns0:c r="K29" s="75" t="n">
        <ns0:v>-0.04950276041495039</ns0:v>
      </ns0:c>
      <ns0:c r="L29" s="75" t="n">
        <ns0:v>0.1134548253859259</ns0:v>
      </ns0:c>
      <ns0:c r="M29" s="75" t="n">
        <ns0:v>-0.1232841625337725</ns0:v>
      </ns0:c>
    </ns0:row>
    <ns0:row r="30" ht="30" customHeight="1">
      <ns0:c r="A30" s="73" t="inlineStr">
        <ns0:is>
          <ns0:t>روغن و چربی</ns0:t>
        </ns0:is>
      </ns0:c>
      <ns0:c r="B30" s="75" t="n">
        <ns0:v>0.02014198558072337</ns0:v>
      </ns0:c>
      <ns0:c r="C30" s="75" t="n">
        <ns0:v>-0.0156185986934505</ns0:v>
      </ns0:c>
      <ns0:c r="D30" s="75" t="n">
        <ns0:v>-0.1857698385525182</ns0:v>
      </ns0:c>
      <ns0:c r="E30" s="75" t="n">
        <ns0:v>0.1352042364767765</ns0:v>
      </ns0:c>
      <ns0:c r="F30" s="74" t="n">
        <ns0:v>-0.4477781629179385</ns0:v>
      </ns0:c>
      <ns0:c r="G30" s="75" t="n">
        <ns0:v>-0.03926040941847554</ns0:v>
      </ns0:c>
      <ns0:c r="H30" s="75" t="n">
        <ns0:v>-0.06750968374163906</ns0:v>
      </ns0:c>
      <ns0:c r="I30" s="75" t="n">
        <ns0:v>-0.1035422644300407</ns0:v>
      </ns0:c>
      <ns0:c r="J30" s="75" t="n">
        <ns0:v>0.06456012252483002</ns0:v>
      </ns0:c>
      <ns0:c r="K30" s="75" t="n">
        <ns0:v>-0.01309404705013183</ns0:v>
      </ns0:c>
      <ns0:c r="L30" s="75" t="n">
        <ns0:v>-0.07478504583694046</ns0:v>
      </ns0:c>
      <ns0:c r="M30" s="75" t="n">
        <ns0:v>-0.005839109817238515</ns0:v>
      </ns0:c>
    </ns0:row>
    <ns0:row r="31" ht="30" customHeight="1">
      <ns0:c r="A31" s="73" t="inlineStr">
        <ns0:is>
          <ns0:t>میوه</ns0:t>
        </ns0:is>
      </ns0:c>
      <ns0:c r="B31" s="75" t="n">
        <ns0:v>-0.1621494316131547</ns0:v>
      </ns0:c>
      <ns0:c r="C31" s="75" t="n">
        <ns0:v>0.00659842528817346</ns0:v>
      </ns0:c>
      <ns0:c r="D31" s="75" t="n">
        <ns0:v>-0.0001226229452926282</ns0:v>
      </ns0:c>
      <ns0:c r="E31" s="75" t="n">
        <ns0:v>0.05687842518946524</ns0:v>
      </ns0:c>
      <ns0:c r="F31" s="75" t="n">
        <ns0:v>-0.08475415496349681</ns0:v>
      </ns0:c>
      <ns0:c r="G31" s="74" t="n">
        <ns0:v>-1.049990321067856</ns0:v>
      </ns0:c>
      <ns0:c r="H31" s="75" t="n">
        <ns0:v>0.126247584994741</ns0:v>
      </ns0:c>
      <ns0:c r="I31" s="75" t="n">
        <ns0:v>-0.04351851662842098</ns0:v>
      </ns0:c>
      <ns0:c r="J31" s="75" t="n">
        <ns0:v>-0.1987379029653907</ns0:v>
      </ns0:c>
      <ns0:c r="K31" s="75" t="n">
        <ns0:v>0.05938767596897581</ns0:v>
      </ns0:c>
      <ns0:c r="L31" s="75" t="n">
        <ns0:v>-0.02824764269904207</ns0:v>
      </ns0:c>
      <ns0:c r="M31" s="75" t="n">
        <ns0:v>0.03296205378987384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-0.01324525381261802</ns0:v>
      </ns0:c>
      <ns0:c r="C32" s="75" t="n">
        <ns0:v>-0.1295310461115218</ns0:v>
      </ns0:c>
      <ns0:c r="D32" s="75" t="n">
        <ns0:v>-0.08138354193641738</ns0:v>
      </ns0:c>
      <ns0:c r="E32" s="75" t="n">
        <ns0:v>-0.1548262791468456</ns0:v>
      </ns0:c>
      <ns0:c r="F32" s="75" t="n">
        <ns0:v>-0.0001624634583627525</ns0:v>
      </ns0:c>
      <ns0:c r="G32" s="75" t="n">
        <ns0:v>0.05620921021324583</ns0:v>
      </ns0:c>
      <ns0:c r="H32" s="74" t="n">
        <ns0:v>-0.4148430283450238</ns0:v>
      </ns0:c>
      <ns0:c r="I32" s="75" t="n">
        <ns0:v>0.001892897625186935</ns0:v>
      </ns0:c>
      <ns0:c r="J32" s="75" t="n">
        <ns0:v>0.01394402003504346</ns0:v>
      </ns0:c>
      <ns0:c r="K32" s="75" t="n">
        <ns0:v>-0.07918748098131596</ns0:v>
      </ns0:c>
      <ns0:c r="L32" s="75" t="n">
        <ns0:v>0.06669030415837804</ns0:v>
      </ns0:c>
      <ns0:c r="M32" s="75" t="n">
        <ns0:v>-0.02324573016460884</ns0:v>
      </ns0:c>
    </ns0:row>
    <ns0:row r="33" ht="30" customHeight="1">
      <ns0:c r="A33" s="73" t="inlineStr">
        <ns0:is>
          <ns0:t>حبوبات</ns0:t>
        </ns0:is>
      </ns0:c>
      <ns0:c r="B33" s="75" t="n">
        <ns0:v>-0.06554468650087808</ns0:v>
      </ns0:c>
      <ns0:c r="C33" s="75" t="n">
        <ns0:v>0.0425246439698427</ns0:v>
      </ns0:c>
      <ns0:c r="D33" s="75" t="n">
        <ns0:v>0.0529374139383315</ns0:v>
      </ns0:c>
      <ns0:c r="E33" s="75" t="n">
        <ns0:v>0.2666690817885995</ns0:v>
      </ns0:c>
      <ns0:c r="F33" s="75" t="n">
        <ns0:v>-0.0968440870211961</ns0:v>
      </ns0:c>
      <ns0:c r="G33" s="75" t="n">
        <ns0:v>-0.05304301630677102</ns0:v>
      </ns0:c>
      <ns0:c r="H33" s="75" t="n">
        <ns0:v>-0.1146022365224507</ns0:v>
      </ns0:c>
      <ns0:c r="I33" s="74" t="n">
        <ns0:v>-0.6777292017704817</ns0:v>
      </ns0:c>
      <ns0:c r="J33" s="75" t="n">
        <ns0:v>-0.1265335939071483</ns0:v>
      </ns0:c>
      <ns0:c r="K33" s="75" t="n">
        <ns0:v>-0.1656143432166014</ns0:v>
      </ns0:c>
      <ns0:c r="L33" s="75" t="n">
        <ns0:v>0.03790724088077973</ns0:v>
      </ns0:c>
      <ns0:c r="M33" s="75" t="n">
        <ns0:v>0.005551662283032694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-0.1634532019453337</ns0:v>
      </ns0:c>
      <ns0:c r="C34" s="75" t="n">
        <ns0:v>-0.08864926000204369</ns0:v>
      </ns0:c>
      <ns0:c r="D34" s="75" t="n">
        <ns0:v>-0.3545878269045347</ns0:v>
      </ns0:c>
      <ns0:c r="E34" s="75" t="n">
        <ns0:v>0.07478318995359876</ns0:v>
      </ns0:c>
      <ns0:c r="F34" s="75" t="n">
        <ns0:v>0.002314723762370248</ns0:v>
      </ns0:c>
      <ns0:c r="G34" s="75" t="n">
        <ns0:v>-0.2069516777983644</ns0:v>
      </ns0:c>
      <ns0:c r="H34" s="75" t="n">
        <ns0:v>-0.1454998290416824</ns0:v>
      </ns0:c>
      <ns0:c r="I34" s="75" t="n">
        <ns0:v>-0.1383188797566932</ns0:v>
      </ns0:c>
      <ns0:c r="J34" s="74" t="n">
        <ns0:v>-0.9900016437733236</ns0:v>
      </ns0:c>
      <ns0:c r="K34" s="75" t="n">
        <ns0:v>-0.09327396119192653</ns0:v>
      </ns0:c>
      <ns0:c r="L34" s="75" t="n">
        <ns0:v>-0.1857936987871474</ns0:v>
      </ns0:c>
      <ns0:c r="M34" s="75" t="n">
        <ns0:v>0.03786403726153875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-0.1357432777645763</ns0:v>
      </ns0:c>
      <ns0:c r="C35" s="75" t="n">
        <ns0:v>-0.06391612238164089</ns0:v>
      </ns0:c>
      <ns0:c r="D35" s="75" t="n">
        <ns0:v>0.01942588620568935</ns0:v>
      </ns0:c>
      <ns0:c r="E35" s="75" t="n">
        <ns0:v>-0.1173135638387435</ns0:v>
      </ns0:c>
      <ns0:c r="F35" s="75" t="n">
        <ns0:v>-0.0143258555385806</ns0:v>
      </ns0:c>
      <ns0:c r="G35" s="75" t="n">
        <ns0:v>0.05556668475490613</ns0:v>
      </ns0:c>
      <ns0:c r="H35" s="75" t="n">
        <ns0:v>-0.111098381994793</ns0:v>
      </ns0:c>
      <ns0:c r="I35" s="75" t="n">
        <ns0:v>-0.04343429306579667</ns0:v>
      </ns0:c>
      <ns0:c r="J35" s="75" t="n">
        <ns0:v>-0.02584514086038348</ns0:v>
      </ns0:c>
      <ns0:c r="K35" s="74" t="n">
        <ns0:v>-0.4931306995459264</ns0:v>
      </ns0:c>
      <ns0:c r="L35" s="75" t="n">
        <ns0:v>-0.06264486290934682</ns0:v>
      </ns0:c>
      <ns0:c r="M35" s="75" t="n">
        <ns0:v>0.0001915598943226088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-0.2345984955418334</ns0:v>
      </ns0:c>
      <ns0:c r="C36" s="75" t="n">
        <ns0:v>0.1862066552844922</ns0:v>
      </ns0:c>
      <ns0:c r="D36" s="75" t="n">
        <ns0:v>-0.06918436829776002</ns0:v>
      </ns0:c>
      <ns0:c r="E36" s="75" t="n">
        <ns0:v>0.2858511462265291</ns0:v>
      </ns0:c>
      <ns0:c r="F36" s="75" t="n">
        <ns0:v>-0.09468341041279174</ns0:v>
      </ns0:c>
      <ns0:c r="G36" s="75" t="n">
        <ns0:v>-0.02327645236915215</ns0:v>
      </ns0:c>
      <ns0:c r="H36" s="75" t="n">
        <ns0:v>0.1677512433665818</ns0:v>
      </ns0:c>
      <ns0:c r="I36" s="75" t="n">
        <ns0:v>0.07292151302434051</ns0:v>
      </ns0:c>
      <ns0:c r="J36" s="75" t="n">
        <ns0:v>-0.1146094060126999</ns0:v>
      </ns0:c>
      <ns0:c r="K36" s="75" t="n">
        <ns0:v>-0.1798380498157265</ns0:v>
      </ns0:c>
      <ns0:c r="L36" s="74" t="n">
        <ns0:v>-0.8301011169343919</ns0:v>
      </ns0:c>
      <ns0:c r="M36" s="75" t="n">
        <ns0:v>0.06749802379482225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0.2408610372657354</ns0:v>
      </ns0:c>
      <ns0:c r="C37" s="75" t="n">
        <ns0:v>-0.1414949737427441</ns0:v>
      </ns0:c>
      <ns0:c r="D37" s="75" t="n">
        <ns0:v>-0.1835424574173636</ns0:v>
      </ns0:c>
      <ns0:c r="E37" s="75" t="n">
        <ns0:v>-0.3631639136180698</ns0:v>
      </ns0:c>
      <ns0:c r="F37" s="75" t="n">
        <ns0:v>-0.04696340123427814</ns0:v>
      </ns0:c>
      <ns0:c r="G37" s="75" t="n">
        <ns0:v>0.06538002495519719</ns0:v>
      </ns0:c>
      <ns0:c r="H37" s="75" t="n">
        <ns0:v>-0.1118996697048502</ns0:v>
      </ns0:c>
      <ns0:c r="I37" s="75" t="n">
        <ns0:v>-0.03692809567499494</ns0:v>
      </ns0:c>
      <ns0:c r="J37" s="75" t="n">
        <ns0:v>0.204709348676426</ns0:v>
      </ns0:c>
      <ns0:c r="K37" s="75" t="n">
        <ns0:v>-0.04627064270811995</ns0:v>
      </ns0:c>
      <ns0:c r="L37" s="75" t="n">
        <ns0:v>0.02476343724854924</ns0:v>
      </ns0:c>
      <ns0:c r="M37" s="74" t="n">
        <ns0:v>-0.3921765597134772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-1.072549278720851</ns0:v>
      </ns0:c>
      <ns0:c r="C42" s="78" t="n">
        <ns0:v>-0.02197833594038168</ns0:v>
      </ns0:c>
      <ns0:c r="D42" s="78" t="n">
        <ns0:v>-0.1092091704028881</ns0:v>
      </ns0:c>
      <ns0:c r="E42" s="78" t="n">
        <ns0:v>0.01184768968091726</ns0:v>
      </ns0:c>
      <ns0:c r="F42" s="78" t="n">
        <ns0:v>-0.03481674357939536</ns0:v>
      </ns0:c>
      <ns0:c r="G42" s="78" t="n">
        <ns0:v>-0.0794600364251285</ns0:v>
      </ns0:c>
      <ns0:c r="H42" s="78" t="n">
        <ns0:v>-0.09969642448123163</ns0:v>
      </ns0:c>
      <ns0:c r="I42" s="78" t="n">
        <ns0:v>-0.03493592610025853</ns0:v>
      </ns0:c>
      <ns0:c r="J42" s="78" t="n">
        <ns0:v>-0.01940134992501047</ns0:v>
      </ns0:c>
      <ns0:c r="K42" s="78" t="n">
        <ns0:v>-0.08381048502004244</ns0:v>
      </ns0:c>
      <ns0:c r="L42" s="78" t="n">
        <ns0:v>-0.1246932680200462</ns0:v>
      </ns0:c>
      <ns0:c r="M42" s="78" t="n">
        <ns0:v>0.04186902997670033</ns0:v>
      </ns0:c>
    </ns0:row>
    <ns0:row r="43" ht="30" customHeight="1">
      <ns0:c r="A43" s="73" t="inlineStr">
        <ns0:is>
          <ns0:t>نان و غلات</ns0:t>
        </ns0:is>
      </ns0:c>
      <ns0:c r="B43" s="78" t="n">
        <ns0:v>0.09472920904046325</ns0:v>
      </ns0:c>
      <ns0:c r="C43" s="77" t="n">
        <ns0:v>-0.6892144444546811</ns0:v>
      </ns0:c>
      <ns0:c r="D43" s="78" t="n">
        <ns0:v>0.1749935372674708</ns0:v>
      </ns0:c>
      <ns0:c r="E43" s="78" t="n">
        <ns0:v>-0.09517063618586113</ns0:v>
      </ns0:c>
      <ns0:c r="F43" s="78" t="n">
        <ns0:v>-0.01681063218185723</ns0:v>
      </ns0:c>
      <ns0:c r="G43" s="78" t="n">
        <ns0:v>0.02337058217080615</ns0:v>
      </ns0:c>
      <ns0:c r="H43" s="78" t="n">
        <ns0:v>-0.06939153843866444</ns0:v>
      </ns0:c>
      <ns0:c r="I43" s="78" t="n">
        <ns0:v>0.02668439169843424</ns0:v>
      </ns0:c>
      <ns0:c r="J43" s="78" t="n">
        <ns0:v>0.03700590088617386</ns0:v>
      </ns0:c>
      <ns0:c r="K43" s="78" t="n">
        <ns0:v>-0.002198111928817617</ns0:v>
      </ns0:c>
      <ns0:c r="L43" s="78" t="n">
        <ns0:v>0.07147726851047718</ns0:v>
      </ns0:c>
      <ns0:c r="M43" s="78" t="n">
        <ns0:v>-0.03224023181135899</ns0:v>
      </ns0:c>
    </ns0:row>
    <ns0:row r="44" ht="30" customHeight="1">
      <ns0:c r="A44" s="73" t="inlineStr">
        <ns0:is>
          <ns0:t>گوشت</ns0:t>
        </ns0:is>
      </ns0:c>
      <ns0:c r="B44" s="78" t="n">
        <ns0:v>0.0001776284196588814</ns0:v>
      </ns0:c>
      <ns0:c r="C44" s="78" t="n">
        <ns0:v>0.01512698465653804</ns0:v>
      </ns0:c>
      <ns0:c r="D44" s="77" t="n">
        <ns0:v>-0.9210934668439009</ns0:v>
      </ns0:c>
      <ns0:c r="E44" s="78" t="n">
        <ns0:v>-0.01848004639865366</ns0:v>
      </ns0:c>
      <ns0:c r="F44" s="78" t="n">
        <ns0:v>-0.07609088819758419</ns0:v>
      </ns0:c>
      <ns0:c r="G44" s="78" t="n">
        <ns0:v>-0.003213422339434165</ns0:v>
      </ns0:c>
      <ns0:c r="H44" s="78" t="n">
        <ns0:v>-0.09283796232696093</ns0:v>
      </ns0:c>
      <ns0:c r="I44" s="78" t="n">
        <ns0:v>-0.02060410117576107</ns0:v>
      </ns0:c>
      <ns0:c r="J44" s="78" t="n">
        <ns0:v>-0.04349118876317582</ns0:v>
      </ns0:c>
      <ns0:c r="K44" s="78" t="n">
        <ns0:v>-0.0004373027912835814</ns0:v>
      </ns0:c>
      <ns0:c r="L44" s="78" t="n">
        <ns0:v>-0.04657889986297135</ns0:v>
      </ns0:c>
      <ns0:c r="M44" s="78" t="n">
        <ns0:v>-0.04743614932513903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0.1116218767249722</ns0:v>
      </ns0:c>
      <ns0:c r="C45" s="78" t="n">
        <ns0:v>-0.1742227159561053</ns0:v>
      </ns0:c>
      <ns0:c r="D45" s="78" t="n">
        <ns0:v>0.05647662554214106</ns0:v>
      </ns0:c>
      <ns0:c r="E45" s="77" t="n">
        <ns0:v>-0.7866167074239647</ns0:v>
      </ns0:c>
      <ns0:c r="F45" s="78" t="n">
        <ns0:v>-0.0137453800633785</ns0:v>
      </ns0:c>
      <ns0:c r="G45" s="78" t="n">
        <ns0:v>0.03515414925584646</ns0:v>
      </ns0:c>
      <ns0:c r="H45" s="78" t="n">
        <ns0:v>-0.1539600304284018</ns0:v>
      </ns0:c>
      <ns0:c r="I45" s="78" t="n">
        <ns0:v>0.04490247999874414</ns0:v>
      </ns0:c>
      <ns0:c r="J45" s="78" t="n">
        <ns0:v>0.109103266170323</ns0:v>
      </ns0:c>
      <ns0:c r="K45" s="78" t="n">
        <ns0:v>-0.05416052232607777</ns0:v>
      </ns0:c>
      <ns0:c r="L45" s="78" t="n">
        <ns0:v>0.1124615709686064</ns0:v>
      </ns0:c>
      <ns0:c r="M45" s="78" t="n">
        <ns0:v>-0.1177127927785902</ns0:v>
      </ns0:c>
    </ns0:row>
    <ns0:row r="46" ht="30" customHeight="1">
      <ns0:c r="A46" s="73" t="inlineStr">
        <ns0:is>
          <ns0:t>روغن و چربی</ns0:t>
        </ns0:is>
      </ns0:c>
      <ns0:c r="B46" s="78" t="n">
        <ns0:v>0.01475267023403452</ns0:v>
      </ns0:c>
      <ns0:c r="C46" s="78" t="n">
        <ns0:v>-0.09592770670591122</ns0:v>
      </ns0:c>
      <ns0:c r="D46" s="78" t="n">
        <ns0:v>-0.2176781118650962</ns0:v>
      </ns0:c>
      <ns0:c r="E46" s="78" t="n">
        <ns0:v>0.0758294392925897</ns0:v>
      </ns0:c>
      <ns0:c r="F46" s="77" t="n">
        <ns0:v>-0.4457519637109314</ns0:v>
      </ns0:c>
      <ns0:c r="G46" s="78" t="n">
        <ns0:v>-0.05418557209385374</ns0:v>
      </ns0:c>
      <ns0:c r="H46" s="78" t="n">
        <ns0:v>-0.1179955871260989</ns0:v>
      </ns0:c>
      <ns0:c r="I46" s="78" t="n">
        <ns0:v>-0.1231066213584424</ns0:v>
      </ns0:c>
      <ns0:c r="J46" s="78" t="n">
        <ns0:v>0.03607040946719099</ns0:v>
      </ns0:c>
      <ns0:c r="K46" s="78" t="n">
        <ns0:v>-0.01559180042094005</ns0:v>
      </ns0:c>
      <ns0:c r="L46" s="78" t="n">
        <ns0:v>-0.08989710500034981</ns0:v>
      </ns0:c>
      <ns0:c r="M46" s="78" t="n">
        <ns0:v>-0.02182871838035658</ns0:v>
      </ns0:c>
    </ns0:row>
    <ns0:row r="47" ht="30" customHeight="1">
      <ns0:c r="A47" s="73" t="inlineStr">
        <ns0:is>
          <ns0:t>میوه</ns0:t>
        </ns0:is>
      </ns0:c>
      <ns0:c r="B47" s="78" t="n">
        <ns0:v>-0.1635180518637026</ns0:v>
      </ns0:c>
      <ns0:c r="C47" s="78" t="n">
        <ns0:v>-0.004287368173537</ns0:v>
      </ns0:c>
      <ns0:c r="D47" s="78" t="n">
        <ns0:v>0.004362864213283337</ns0:v>
      </ns0:c>
      <ns0:c r="E47" s="78" t="n">
        <ns0:v>0.05260246993839125</ns0:v>
      </ns0:c>
      <ns0:c r="F47" s="78" t="n">
        <ns0:v>-0.09019039468193406</ns0:v>
      </ns0:c>
      <ns0:c r="G47" s="77" t="n">
        <ns0:v>-1.044499258712079</ns0:v>
      </ns0:c>
      <ns0:c r="H47" s="78" t="n">
        <ns0:v>0.116690594771188</ns0:v>
      </ns0:c>
      <ns0:c r="I47" s="78" t="n">
        <ns0:v>-0.04489516908296922</ns0:v>
      </ns0:c>
      <ns0:c r="J47" s="78" t="n">
        <ns0:v>-0.2024344417141962</ns0:v>
      </ns0:c>
      <ns0:c r="K47" s="78" t="n">
        <ns0:v>0.05745471791192592</ns0:v>
      </ns0:c>
      <ns0:c r="L47" s="78" t="n">
        <ns0:v>-0.02806186240562114</ns0:v>
      </ns0:c>
      <ns0:c r="M47" s="78" t="n">
        <ns0:v>0.02984694638792383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-0.01307867067056119</ns0:v>
      </ns0:c>
      <ns0:c r="C48" s="78" t="n">
        <ns0:v>-0.1167075647829033</ns0:v>
      </ns0:c>
      <ns0:c r="D48" s="78" t="n">
        <ns0:v>-0.06441842582432783</ns0:v>
      </ns0:c>
      <ns0:c r="E48" s="78" t="n">
        <ns0:v>-0.1424483668442868</ns0:v>
      </ns0:c>
      <ns0:c r="F48" s="78" t="n">
        <ns0:v>-0.0008040990742677329</ns0:v>
      </ns0:c>
      <ns0:c r="G48" s="78" t="n">
        <ns0:v>0.05732414413473939</ns0:v>
      </ns0:c>
      <ns0:c r="H48" s="77" t="n">
        <ns0:v>-0.4021832159708053</ns0:v>
      </ns0:c>
      <ns0:c r="I48" s="78" t="n">
        <ns0:v>0.00586769650245072</ns0:v>
      </ns0:c>
      <ns0:c r="J48" s="78" t="n">
        <ns0:v>0.01237083107361506</ns0:v>
      </ns0:c>
      <ns0:c r="K48" s="78" t="n">
        <ns0:v>-0.07132877317737786</ns0:v>
      </ns0:c>
      <ns0:c r="L48" s="78" t="n">
        <ns0:v>0.06757473133928338</ns0:v>
      </ns0:c>
      <ns0:c r="M48" s="78" t="n">
        <ns0:v>-0.01913512469840209</ns0:v>
      </ns0:c>
    </ns0:row>
    <ns0:row r="49" ht="30" customHeight="1">
      <ns0:c r="A49" s="73" t="inlineStr">
        <ns0:is>
          <ns0:t>حبوبات</ns0:t>
        </ns0:is>
      </ns0:c>
      <ns0:c r="B49" s="78" t="n">
        <ns0:v>-0.0796683799386714</ns0:v>
      </ns0:c>
      <ns0:c r="C49" s="78" t="n">
        <ns0:v>0.0006931302708248303</ns0:v>
      </ns0:c>
      <ns0:c r="D49" s="78" t="n">
        <ns0:v>-0.001109492088028095</ns0:v>
      </ns0:c>
      <ns0:c r="E49" s="78" t="n">
        <ns0:v>0.2229997026104049</ns0:v>
      </ns0:c>
      <ns0:c r="F49" s="78" t="n">
        <ns0:v>-0.1115557665444249</ns0:v>
      </ns0:c>
      <ns0:c r="G49" s="78" t="n">
        <ns0:v>-0.06651239904732983</ns0:v>
      </ns0:c>
      <ns0:c r="H49" s="78" t="n">
        <ns0:v>-0.1402596398185509</ns0:v>
      </ns0:c>
      <ns0:c r="I49" s="77" t="n">
        <ns0:v>-0.7029745535904786</ns0:v>
      </ns0:c>
      <ns0:c r="J49" s="78" t="n">
        <ns0:v>-0.1135323747518602</ns0:v>
      </ns0:c>
      <ns0:c r="K49" s="78" t="n">
        <ns0:v>-0.1737427410093187</ns0:v>
      </ns0:c>
      <ns0:c r="L49" s="78" t="n">
        <ns0:v>0.01930760419247334</ns0:v>
      </ns0:c>
      <ns0:c r="M49" s="78" t="n">
        <ns0:v>-0.004005470041900073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-0.1307530557682054</ns0:v>
      </ns0:c>
      <ns0:c r="C50" s="78" t="n">
        <ns0:v>-0.003893297889698299</ns0:v>
      </ns0:c>
      <ns0:c r="D50" s="78" t="n">
        <ns0:v>-0.2574340908878279</ns0:v>
      </ns0:c>
      <ns0:c r="E50" s="78" t="n">
        <ns0:v>0.1638637640220077</ns0:v>
      </ns0:c>
      <ns0:c r="F50" s="78" t="n">
        <ns0:v>0.01789636979642379</ns0:v>
      </ns0:c>
      <ns0:c r="G50" s="78" t="n">
        <ns0:v>-0.1874827795955228</ns0:v>
      </ns0:c>
      <ns0:c r="H50" s="78" t="n">
        <ns0:v>-0.09369465368455397</ns0:v>
      </ns0:c>
      <ns0:c r="I50" s="78" t="n">
        <ns0:v>-0.1064861647772161</ns0:v>
      </ns0:c>
      <ns0:c r="J50" s="77" t="n">
        <ns0:v>-0.9969157863378009</ns0:v>
      </ns0:c>
      <ns0:c r="K50" s="78" t="n">
        <ns0:v>-0.07267910811230348</ns0:v>
      </ns0:c>
      <ns0:c r="L50" s="78" t="n">
        <ns0:v>-0.1545943664827267</ns0:v>
      </ns0:c>
      <ns0:c r="M50" s="78" t="n">
        <ns0:v>0.04888238016040301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-0.1191910172959903</ns0:v>
      </ns0:c>
      <ns0:c r="C51" s="78" t="n">
        <ns0:v>-0.06707430343748043</ns0:v>
      </ns0:c>
      <ns0:c r="D51" s="78" t="n">
        <ns0:v>0.01949711668465058</ns0:v>
      </ns0:c>
      <ns0:c r="E51" s="78" t="n">
        <ns0:v>-0.1138559725544312</ns0:v>
      </ns0:c>
      <ns0:c r="F51" s="78" t="n">
        <ns0:v>-0.001638182427756464</ns0:v>
      </ns0:c>
      <ns0:c r="G51" s="78" t="n">
        <ns0:v>0.05808586206966816</ns0:v>
      </ns0:c>
      <ns0:c r="H51" s="78" t="n">
        <ns0:v>-0.1079583675782209</ns0:v>
      </ns0:c>
      <ns0:c r="I51" s="78" t="n">
        <ns0:v>-0.03714988264139504</ns0:v>
      </ns0:c>
      <ns0:c r="J51" s="78" t="n">
        <ns0:v>-0.03946311914691433</ns0:v>
      </ns0:c>
      <ns0:c r="K51" s="77" t="n">
        <ns0:v>-0.4904835190865123</ns0:v>
      </ns0:c>
      <ns0:c r="L51" s="78" t="n">
        <ns0:v>-0.06388040809563197</ns0:v>
      </ns0:c>
      <ns0:c r="M51" s="78" t="n">
        <ns0:v>-0.001930637319103787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-0.2546096161008036</ns0:v>
      </ns0:c>
      <ns0:c r="C52" s="78" t="n">
        <ns0:v>0.1632030089517504</ns0:v>
      </ns0:c>
      <ns0:c r="D52" s="78" t="n">
        <ns0:v>-0.09781512729806423</ns0:v>
      </ns0:c>
      <ns0:c r="E52" s="78" t="n">
        <ns0:v>0.2560919096868565</ns0:v>
      </ns0:c>
      <ns0:c r="F52" s="78" t="n">
        <ns0:v>-0.1035654658829559</ns0:v>
      </ns0:c>
      <ns0:c r="G52" s="78" t="n">
        <ns0:v>-0.03088931735360672</ns0:v>
      </ns0:c>
      <ns0:c r="H52" s="78" t="n">
        <ns0:v>0.1423637739654074</ns0:v>
      </ns0:c>
      <ns0:c r="I52" s="78" t="n">
        <ns0:v>0.05930221512400346</ns0:v>
      </ns0:c>
      <ns0:c r="J52" s="78" t="n">
        <ns0:v>-0.1070833750407587</ns0:v>
      </ns0:c>
      <ns0:c r="K52" s="78" t="n">
        <ns0:v>-0.1900338327128292</ns0:v>
      </ns0:c>
      <ns0:c r="L52" s="77" t="n">
        <ns0:v>-0.8393125107471924</ns0:v>
      </ns0:c>
      <ns0:c r="M52" s="78" t="n">
        <ns0:v>0.05899016684696422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0.2516751354035425</ns0:v>
      </ns0:c>
      <ns0:c r="C53" s="78" t="n">
        <ns0:v>-0.1041321386277659</ns0:v>
      </ns0:c>
      <ns0:c r="D53" s="78" t="n">
        <ns0:v>-0.1514936472824021</ns0:v>
      </ns0:c>
      <ns0:c r="E53" s="78" t="n">
        <ns0:v>-0.3297614989835035</ns0:v>
      </ns0:c>
      <ns0:c r="F53" s="78" t="n">
        <ns0:v>-0.04477411166331085</ns0:v>
      </ns0:c>
      <ns0:c r="G53" s="78" t="n">
        <ns0:v>0.07128818398506073</ns0:v>
      </ns0:c>
      <ns0:c r="H53" s="78" t="n">
        <ns0:v>-0.08664827174525043</ns0:v>
      </ns0:c>
      <ns0:c r="I53" s="78" t="n">
        <ns0:v>-0.03108325062372424</ns0:v>
      </ns0:c>
      <ns0:c r="J53" s="78" t="n">
        <ns0:v>0.1987492891821198</ns0:v>
      </ns0:c>
      <ns0:c r="K53" s="78" t="n">
        <ns0:v>-0.03574762854094804</ns0:v>
      </ns0:c>
      <ns0:c r="L53" s="78" t="n">
        <ns0:v>0.03177208288827273</ns0:v>
      </ns0:c>
      <ns0:c r="M53" s="77" t="n">
        <ns0:v>-0.3899074668428202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سال 1394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-1.079</ns0:v>
      </ns0:c>
      <ns0:c r="C6" s="69" t="n">
        <ns0:v>-1.0772</ns0:v>
      </ns0:c>
      <ns0:c r="D6" s="70" t="n">
        <ns0:v>1.5628</ns0:v>
      </ns0:c>
      <ns0:c r="E6" s="69" t="n">
        <ns0:v>1.6079</ns0:v>
      </ns0:c>
    </ns0:row>
    <ns0:row r="7" ht="23" customHeight="1">
      <ns0:c r="A7" s="28" t="inlineStr">
        <ns0:is>
          <ns0:t>نان و غلات</ns0:t>
        </ns0:is>
      </ns0:c>
      <ns0:c r="B7" s="68" t="n">
        <ns0:v>-0.7459</ns0:v>
      </ns0:c>
      <ns0:c r="C7" s="69" t="n">
        <ns0:v>-0.72</ns0:v>
      </ns0:c>
      <ns0:c r="D7" s="70" t="n">
        <ns0:v>0.6245000000000001</ns0:v>
      </ns0:c>
      <ns0:c r="E7" s="69" t="n">
        <ns0:v>0.5449000000000001</ns0:v>
      </ns0:c>
    </ns0:row>
    <ns0:row r="8" ht="23" customHeight="1">
      <ns0:c r="A8" s="28" t="inlineStr">
        <ns0:is>
          <ns0:t>گوشت</ns0:t>
        </ns0:is>
      </ns0:c>
      <ns0:c r="B8" s="68" t="n">
        <ns0:v>-0.9082</ns0:v>
      </ns0:c>
      <ns0:c r="C8" s="69" t="n">
        <ns0:v>-0.9193</ns0:v>
      </ns0:c>
      <ns0:c r="D8" s="70" t="n">
        <ns0:v>1.2386</ns0:v>
      </ns0:c>
      <ns0:c r="E8" s="69" t="n">
        <ns0:v>1.2609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-0.7886</ns0:v>
      </ns0:c>
      <ns0:c r="C9" s="69" t="n">
        <ns0:v>-0.7825</ns0:v>
      </ns0:c>
      <ns0:c r="D9" s="70" t="n">
        <ns0:v>0.8578</ns0:v>
      </ns0:c>
      <ns0:c r="E9" s="69" t="n">
        <ns0:v>0.8310999999999999</ns0:v>
      </ns0:c>
    </ns0:row>
    <ns0:row r="10" ht="23" customHeight="1">
      <ns0:c r="A10" s="28" t="inlineStr">
        <ns0:is>
          <ns0:t>روغن و چربی</ns0:t>
        </ns0:is>
      </ns0:c>
      <ns0:c r="B10" s="68" t="n">
        <ns0:v>-0.4359</ns0:v>
      </ns0:c>
      <ns0:c r="C10" s="69" t="n">
        <ns0:v>-0.4319</ns0:v>
      </ns0:c>
      <ns0:c r="D10" s="70" t="n">
        <ns0:v>0.6748</ns0:v>
      </ns0:c>
      <ns0:c r="E10" s="69" t="n">
        <ns0:v>1.0063</ns0:v>
      </ns0:c>
    </ns0:row>
    <ns0:row r="11" ht="23" customHeight="1">
      <ns0:c r="A11" s="28" t="inlineStr">
        <ns0:is>
          <ns0:t>میوه</ns0:t>
        </ns0:is>
      </ns0:c>
      <ns0:c r="B11" s="68" t="n">
        <ns0:v>-1.0354</ns0:v>
      </ns0:c>
      <ns0:c r="C11" s="69" t="n">
        <ns0:v>-1.0301</ns0:v>
      </ns0:c>
      <ns0:c r="D11" s="70" t="n">
        <ns0:v>1.2393</ns0:v>
      </ns0:c>
      <ns0:c r="E11" s="69" t="n">
        <ns0:v>1.2728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-0.3446</ns0:v>
      </ns0:c>
      <ns0:c r="C12" s="69" t="n">
        <ns0:v>-0.3322</ns0:v>
      </ns0:c>
      <ns0:c r="D12" s="70" t="n">
        <ns0:v>0.6902</ns0:v>
      </ns0:c>
      <ns0:c r="E12" s="69" t="n">
        <ns0:v>0.6097</ns0:v>
      </ns0:c>
    </ns0:row>
    <ns0:row r="13" ht="23" customHeight="1">
      <ns0:c r="A13" s="28" t="inlineStr">
        <ns0:is>
          <ns0:t>حبوبات</ns0:t>
        </ns0:is>
      </ns0:c>
      <ns0:c r="B13" s="68" t="n">
        <ns0:v>-0.6798999999999999</ns0:v>
      </ns0:c>
      <ns0:c r="C13" s="69" t="n">
        <ns0:v>-0.7046</ns0:v>
      </ns0:c>
      <ns0:c r="D13" s="70" t="n">
        <ns0:v>0.9134</ns0:v>
      </ns0:c>
      <ns0:c r="E13" s="69" t="n">
        <ns0:v>1.1719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-0.9897</ns0:v>
      </ns0:c>
      <ns0:c r="C14" s="69" t="n">
        <ns0:v>-0.9951</ns0:v>
      </ns0:c>
      <ns0:c r="D14" s="70" t="n">
        <ns0:v>2.1</ns0:v>
      </ns0:c>
      <ns0:c r="E14" s="69" t="n">
        <ns0:v>1.6257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-0.4908</ns0:v>
      </ns0:c>
      <ns0:c r="C15" s="69" t="n">
        <ns0:v>-0.4884</ns0:v>
      </ns0:c>
      <ns0:c r="D15" s="70" t="n">
        <ns0:v>0.989</ns0:v>
      </ns0:c>
      <ns0:c r="E15" s="69" t="n">
        <ns0:v>0.9686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-0.8215</ns0:v>
      </ns0:c>
      <ns0:c r="C16" s="69" t="n">
        <ns0:v>-0.8305</ns0:v>
      </ns0:c>
      <ns0:c r="D16" s="70" t="n">
        <ns0:v>0.8198</ns0:v>
      </ns0:c>
      <ns0:c r="E16" s="69" t="n">
        <ns0:v>0.9986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-0.3899</ns0:v>
      </ns0:c>
      <ns0:c r="C17" s="69" t="n">
        <ns0:v>-0.3876</ns0:v>
      </ns0:c>
      <ns0:c r="D17" s="70" t="n">
        <ns0:v>0.7971</ns0:v>
      </ns0:c>
      <ns0:c r="E17" s="69" t="n">
        <ns0:v>0.6283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-1.079036709318378</ns0:v>
      </ns0:c>
      <ns0:c r="C26" s="75" t="n">
        <ns0:v>-0.01029111676054649</ns0:v>
      </ns0:c>
      <ns0:c r="D26" s="75" t="n">
        <ns0:v>-0.09082010593615261</ns0:v>
      </ns0:c>
      <ns0:c r="E26" s="75" t="n">
        <ns0:v>0.01973512342254531</ns0:v>
      </ns0:c>
      <ns0:c r="F26" s="75" t="n">
        <ns0:v>-0.03581824565728577</ns0:v>
      </ns0:c>
      <ns0:c r="G26" s="75" t="n">
        <ns0:v>-0.07452360443232882</ns0:v>
      </ns0:c>
      <ns0:c r="H26" s="75" t="n">
        <ns0:v>-0.07979967394062033</ns0:v>
      </ns0:c>
      <ns0:c r="I26" s="75" t="n">
        <ns0:v>-0.03569830525133779</ns0:v>
      </ns0:c>
      <ns0:c r="J26" s="75" t="n">
        <ns0:v>-0.01941696147129838</ns0:v>
      </ns0:c>
      <ns0:c r="K26" s="75" t="n">
        <ns0:v>-0.08283567116092291</ns0:v>
      </ns0:c>
      <ns0:c r="L26" s="75" t="n">
        <ns0:v>-0.1160635852197987</ns0:v>
      </ns0:c>
      <ns0:c r="M26" s="75" t="n">
        <ns0:v>0.04334969357530513</ns0:v>
      </ns0:c>
    </ns0:row>
    <ns0:row r="27" ht="30" customHeight="1">
      <ns0:c r="A27" s="73" t="inlineStr">
        <ns0:is>
          <ns0:t>نان و غلات</ns0:t>
        </ns0:is>
      </ns0:c>
      <ns0:c r="B27" s="75" t="n">
        <ns0:v>0.09493356391984806</ns0:v>
      </ns0:c>
      <ns0:c r="C27" s="74" t="n">
        <ns0:v>-0.7458805016976078</ns0:v>
      </ns0:c>
      <ns0:c r="D27" s="75" t="n">
        <ns0:v>0.146889022825106</ns0:v>
      </ns0:c>
      <ns0:c r="E27" s="75" t="n">
        <ns0:v>-0.1041749325815404</ns0:v>
      </ns0:c>
      <ns0:c r="F27" s="75" t="n">
        <ns0:v>-0.004517565034559762</ns0:v>
      </ns0:c>
      <ns0:c r="G27" s="75" t="n">
        <ns0:v>0.02142977572405723</ns0:v>
      </ns0:c>
      <ns0:c r="H27" s="75" t="n">
        <ns0:v>-0.08237380525086729</ns0:v>
      </ns0:c>
      <ns0:c r="I27" s="75" t="n">
        <ns0:v>0.02282085221672679</ns0:v>
      </ns0:c>
      <ns0:c r="J27" s="75" t="n">
        <ns0:v>0.02531415589765893</ns0:v>
      </ns0:c>
      <ns0:c r="K27" s="75" t="n">
        <ns0:v>-0.006717503034700656</ns0:v>
      </ns0:c>
      <ns0:c r="L27" s="75" t="n">
        <ns0:v>0.06074532148466166</ns0:v>
      </ns0:c>
      <ns0:c r="M27" s="75" t="n">
        <ns0:v>-0.03484097768696932</ns0:v>
      </ns0:c>
    </ns0:row>
    <ns0:row r="28" ht="30" customHeight="1">
      <ns0:c r="A28" s="73" t="inlineStr">
        <ns0:is>
          <ns0:t>گوشت</ns0:t>
        </ns0:is>
      </ns0:c>
      <ns0:c r="B28" s="75" t="n">
        <ns0:v>0.0004266241441609154</ns0:v>
      </ns0:c>
      <ns0:c r="C28" s="75" t="n">
        <ns0:v>0.01843331256364009</ns0:v>
      </ns0:c>
      <ns0:c r="D28" s="74" t="n">
        <ns0:v>-0.9082445404435362</ns0:v>
      </ns0:c>
      <ns0:c r="E28" s="75" t="n">
        <ns0:v>-0.01218759048605612</ns0:v>
      </ns0:c>
      <ns0:c r="F28" s="75" t="n">
        <ns0:v>-0.08717816962471932</ns0:v>
      </ns0:c>
      <ns0:c r="G28" s="75" t="n">
        <ns0:v>-0.00480850912826774</ns0:v>
      </ns0:c>
      <ns0:c r="H28" s="75" t="n">
        <ns0:v>-0.08920793477157719</ns0:v>
      </ns0:c>
      <ns0:c r="I28" s="75" t="n">
        <ns0:v>-0.02090737714808592</ns0:v>
      </ns0:c>
      <ns0:c r="J28" s="75" t="n">
        <ns0:v>-0.04361167777147712</ns0:v>
      </ns0:c>
      <ns0:c r="K28" s="75" t="n">
        <ns0:v>0.004106002605426287</ns0:v>
      </ns0:c>
      <ns0:c r="L28" s="75" t="n">
        <ns0:v>-0.04897625422908691</ns0:v>
      </ns0:c>
      <ns0:c r="M28" s="75" t="n">
        <ns0:v>-0.04743458457592742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0.1145722503819593</ns0:v>
      </ns0:c>
      <ns0:c r="C29" s="75" t="n">
        <ns0:v>-0.1875635807536306</ns0:v>
      </ns0:c>
      <ns0:c r="D29" s="75" t="n">
        <ns0:v>0.05810002282480766</ns0:v>
      </ns0:c>
      <ns0:c r="E29" s="74" t="n">
        <ns0:v>-0.7886431478716436</ns0:v>
      </ns0:c>
      <ns0:c r="F29" s="75" t="n">
        <ns0:v>0.001063078715326069</ns0:v>
      </ns0:c>
      <ns0:c r="G29" s="75" t="n">
        <ns0:v>0.03638968582797713</ns0:v>
      </ns0:c>
      <ns0:c r="H29" s="75" t="n">
        <ns0:v>-0.166077734456984</ns0:v>
      </ns0:c>
      <ns0:c r="I29" s="75" t="n">
        <ns0:v>0.04588922474089239</ns0:v>
      </ns0:c>
      <ns0:c r="J29" s="75" t="n">
        <ns0:v>0.09411243926716845</ns0:v>
      </ns0:c>
      <ns0:c r="K29" s="75" t="n">
        <ns0:v>-0.04994569293605128</ns0:v>
      </ns0:c>
      <ns0:c r="L29" s="75" t="n">
        <ns0:v>0.1159935318905109</ns0:v>
      </ns0:c>
      <ns0:c r="M29" s="75" t="n">
        <ns0:v>-0.1261814340728122</ns0:v>
      </ns0:c>
    </ns0:row>
    <ns0:row r="30" ht="30" customHeight="1">
      <ns0:c r="A30" s="73" t="inlineStr">
        <ns0:is>
          <ns0:t>روغن و چربی</ns0:t>
        </ns0:is>
      </ns0:c>
      <ns0:c r="B30" s="75" t="n">
        <ns0:v>0.02959725033538303</ns0:v>
      </ns0:c>
      <ns0:c r="C30" s="75" t="n">
        <ns0:v>-0.007530992936286942</ns0:v>
      </ns0:c>
      <ns0:c r="D30" s="75" t="n">
        <ns0:v>-0.1819446292292044</ns0:v>
      </ns0:c>
      <ns0:c r="E30" s="75" t="n">
        <ns0:v>0.1247260093477562</ns0:v>
      </ns0:c>
      <ns0:c r="F30" s="74" t="n">
        <ns0:v>-0.4358870696574819</ns0:v>
      </ns0:c>
      <ns0:c r="G30" s="75" t="n">
        <ns0:v>-0.03662266397817805</ns0:v>
      </ns0:c>
      <ns0:c r="H30" s="75" t="n">
        <ns0:v>-0.0659983990392813</ns0:v>
      </ns0:c>
      <ns0:c r="I30" s="75" t="n">
        <ns0:v>-0.09719475381312968</ns0:v>
      </ns0:c>
      <ns0:c r="J30" s="75" t="n">
        <ns0:v>0.06612541790815039</ns0:v>
      </ns0:c>
      <ns0:c r="K30" s="75" t="n">
        <ns0:v>-0.009437705468065822</ns0:v>
      </ns0:c>
      <ns0:c r="L30" s="75" t="n">
        <ns0:v>-0.0758673919910403</ns0:v>
      </ns0:c>
      <ns0:c r="M30" s="75" t="n">
        <ns0:v>-0.008125597131670888</ns0:v>
      </ns0:c>
    </ns0:row>
    <ns0:row r="31" ht="30" customHeight="1">
      <ns0:c r="A31" s="73" t="inlineStr">
        <ns0:is>
          <ns0:t>میوه</ns0:t>
        </ns0:is>
      </ns0:c>
      <ns0:c r="B31" s="75" t="n">
        <ns0:v>-0.1597803908248303</ns0:v>
      </ns0:c>
      <ns0:c r="C31" s="75" t="n">
        <ns0:v>0.01083088131660963</ns0:v>
      </ns0:c>
      <ns0:c r="D31" s="75" t="n">
        <ns0:v>0.002868167158806476</ns0:v>
      </ns0:c>
      <ns0:c r="E31" s="75" t="n">
        <ns0:v>0.05839219344463847</ns0:v>
      </ns0:c>
      <ns0:c r="F31" s="75" t="n">
        <ns0:v>-0.08033453544517404</ns0:v>
      </ns0:c>
      <ns0:c r="G31" s="74" t="n">
        <ns0:v>-1.035436972734462</ns0:v>
      </ns0:c>
      <ns0:c r="H31" s="75" t="n">
        <ns0:v>0.1226772899499353</ns0:v>
      </ns0:c>
      <ns0:c r="I31" s="75" t="n">
        <ns0:v>-0.03956866083287349</ns0:v>
      </ns0:c>
      <ns0:c r="J31" s="75" t="n">
        <ns0:v>-0.1972189875535994</ns0:v>
      </ns0:c>
      <ns0:c r="K31" s="75" t="n">
        <ns0:v>0.06200824057674111</ns0:v>
      </ns0:c>
      <ns0:c r="L31" s="75" t="n">
        <ns0:v>-0.02820649295976842</ns0:v>
      </ns0:c>
      <ns0:c r="M31" s="75" t="n">
        <ns0:v>0.03440943014723599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-0.01182153937950094</ns0:v>
      </ns0:c>
      <ns0:c r="C32" s="75" t="n">
        <ns0:v>-0.1435388905786522</ns0:v>
      </ns0:c>
      <ns0:c r="D32" s="75" t="n">
        <ns0:v>-0.09188862274881719</ns0:v>
      </ns0:c>
      <ns0:c r="E32" s="75" t="n">
        <ns0:v>-0.1755083589196532</ns0:v>
      </ns0:c>
      <ns0:c r="F32" s="75" t="n">
        <ns0:v>-0.001504793498750371</ns0:v>
      </ns0:c>
      <ns0:c r="G32" s="75" t="n">
        <ns0:v>0.06322493541641001</ns0:v>
      </ns0:c>
      <ns0:c r="H32" s="74" t="n">
        <ns0:v>-0.3446310056861503</ns0:v>
      </ns0:c>
      <ns0:c r="I32" s="75" t="n">
        <ns0:v>0.00170531198752789</ns0:v>
      </ns0:c>
      <ns0:c r="J32" s="75" t="n">
        <ns0:v>0.0166630688873717</ns0:v>
      </ns0:c>
      <ns0:c r="K32" s="75" t="n">
        <ns0:v>-0.0882242747012764</ns0:v>
      </ns0:c>
      <ns0:c r="L32" s="75" t="n">
        <ns0:v>0.07460508965797059</ns0:v>
      </ns0:c>
      <ns0:c r="M32" s="75" t="n">
        <ns0:v>-0.02672648405353949</ns0:v>
      </ns0:c>
    </ns0:row>
    <ns0:row r="33" ht="30" customHeight="1">
      <ns0:c r="A33" s="73" t="inlineStr">
        <ns0:is>
          <ns0:t>حبوبات</ns0:t>
        </ns0:is>
      </ns0:c>
      <ns0:c r="B33" s="75" t="n">
        <ns0:v>-0.05897405728130542</ns0:v>
      </ns0:c>
      <ns0:c r="C33" s="75" t="n">
        <ns0:v>0.04865904053656171</ns0:v>
      </ns0:c>
      <ns0:c r="D33" s="75" t="n">
        <ns0:v>0.04877792736727122</ns0:v>
      </ns0:c>
      <ns0:c r="E33" s="75" t="n">
        <ns0:v>0.2569659129537998</ns0:v>
      </ns0:c>
      <ns0:c r="F33" s="75" t="n">
        <ns0:v>-0.09605170772900933</ns0:v>
      </ns0:c>
      <ns0:c r="G33" s="75" t="n">
        <ns0:v>-0.04976151771894725</ns0:v>
      </ns0:c>
      <ns0:c r="H33" s="75" t="n">
        <ns0:v>-0.112457443297117</ns0:v>
      </ns0:c>
      <ns0:c r="I33" s="74" t="n">
        <ns0:v>-0.6798955262564292</ns0:v>
      </ns0:c>
      <ns0:c r="J33" s="75" t="n">
        <ns0:v>-0.1262202297053555</ns0:v>
      </ns0:c>
      <ns0:c r="K33" s="75" t="n">
        <ns0:v>-0.1569985187662951</ns0:v>
      </ns0:c>
      <ns0:c r="L33" s="75" t="n">
        <ns0:v>0.03748748740907315</ns0:v>
      </ns0:c>
      <ns0:c r="M33" s="75" t="n">
        <ns0:v>0.00342294872522773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-0.1662107529108668</ns0:v>
      </ns0:c>
      <ns0:c r="C34" s="75" t="n">
        <ns0:v>-0.09276065809614557</ns0:v>
      </ns0:c>
      <ns0:c r="D34" s="75" t="n">
        <ns0:v>-0.3490810308694048</ns0:v>
      </ns0:c>
      <ns0:c r="E34" s="75" t="n">
        <ns0:v>0.07826976592381385</ns0:v>
      </ns0:c>
      <ns0:c r="F34" s="75" t="n">
        <ns0:v>0.004780613295687515</ns0:v>
      </ns0:c>
      <ns0:c r="G34" s="75" t="n">
        <ns0:v>-0.2049472273380874</ns0:v>
      </ns0:c>
      <ns0:c r="H34" s="75" t="n">
        <ns0:v>-0.1313824278443005</ns0:v>
      </ns0:c>
      <ns0:c r="I34" s="75" t="n">
        <ns0:v>-0.1368418444093862</ns0:v>
      </ns0:c>
      <ns0:c r="J34" s="74" t="n">
        <ns0:v>-0.989657318199002</ns0:v>
      </ns0:c>
      <ns0:c r="K34" s="75" t="n">
        <ns0:v>-0.09544488815133507</ns0:v>
      </ns0:c>
      <ns0:c r="L34" s="75" t="n">
        <ns0:v>-0.180842690341332</ns0:v>
      </ns0:c>
      <ns0:c r="M34" s="75" t="n">
        <ns0:v>0.03992187305854068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-0.1306933778498657</ns0:v>
      </ns0:c>
      <ns0:c r="C35" s="75" t="n">
        <ns0:v>-0.07124017010640553</ns0:v>
      </ns0:c>
      <ns0:c r="D35" s="75" t="n">
        <ns0:v>0.02005623336668174</ns0:v>
      </ns0:c>
      <ns0:c r="E35" s="75" t="n">
        <ns0:v>-0.114820767883274</ns0:v>
      </ns0:c>
      <ns0:c r="F35" s="75" t="n">
        <ns0:v>-0.01678363926986353</ns0:v>
      </ns0:c>
      <ns0:c r="G35" s="75" t="n">
        <ns0:v>0.05392319643352243</ns0:v>
      </ns0:c>
      <ns0:c r="H35" s="75" t="n">
        <ns0:v>-0.1169918124395731</ns0:v>
      </ns0:c>
      <ns0:c r="I35" s="75" t="n">
        <ns0:v>-0.04294071891385764</ns0:v>
      </ns0:c>
      <ns0:c r="J35" s="75" t="n">
        <ns0:v>-0.02810853125015263</ns0:v>
      </ns0:c>
      <ns0:c r="K35" s="74" t="n">
        <ns0:v>-0.4907850304755146</ns0:v>
      </ns0:c>
      <ns0:c r="L35" s="75" t="n">
        <ns0:v>-0.06804712599350479</ns0:v>
      </ns0:c>
      <ns0:c r="M35" s="75" t="n">
        <ns0:v>-0.00465029854309539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-0.232480458308724</ns0:v>
      </ns0:c>
      <ns0:c r="C36" s="75" t="n">
        <ns0:v>0.192939462566312</ns0:v>
      </ns0:c>
      <ns0:c r="D36" s="75" t="n">
        <ns0:v>-0.0711569382250611</ns0:v>
      </ns0:c>
      <ns0:c r="E36" s="75" t="n">
        <ns0:v>0.2879589697975989</ns0:v>
      </ns0:c>
      <ns0:c r="F36" s="75" t="n">
        <ns0:v>-0.09709504309350257</ns0:v>
      </ns0:c>
      <ns0:c r="G36" s="75" t="n">
        <ns0:v>-0.02249380874128991</ns0:v>
      </ns0:c>
      <ns0:c r="H36" s="75" t="n">
        <ns0:v>0.1646409463701504</ns0:v>
      </ns0:c>
      <ns0:c r="I36" s="75" t="n">
        <ns0:v>0.07118204253468809</ns0:v>
      </ns0:c>
      <ns0:c r="J36" s="75" t="n">
        <ns0:v>-0.1127245797977784</ns0:v>
      </ns0:c>
      <ns0:c r="K36" s="75" t="n">
        <ns0:v>-0.1762511763579117</ns0:v>
      </ns0:c>
      <ns0:c r="L36" s="74" t="n">
        <ns0:v>-0.821493451614645</ns0:v>
      </ns0:c>
      <ns0:c r="M36" s="75" t="n">
        <ns0:v>0.06462475531176436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0.2436542441721814</ns0:v>
      </ns0:c>
      <ns0:c r="C37" s="75" t="n">
        <ns0:v>-0.1394678110996344</ns0:v>
      </ns0:c>
      <ns0:c r="D37" s="75" t="n">
        <ns0:v>-0.1861818028843764</ns0:v>
      </ns0:c>
      <ns0:c r="E37" s="75" t="n">
        <ns0:v>-0.3658892027238689</ns0:v>
      </ns0:c>
      <ns0:c r="F37" s="75" t="n">
        <ns0:v>-0.04798886079893341</ns0:v>
      </ns0:c>
      <ns0:c r="G37" s="75" t="n">
        <ns0:v>0.06548163258648558</ns0:v>
      </ns0:c>
      <ns0:c r="H37" s="75" t="n">
        <ns0:v>-0.1154157717486844</ns0:v>
      </ns0:c>
      <ns0:c r="I37" s="75" t="n">
        <ns0:v>-0.03767295579571237</ns0:v>
      </ns0:c>
      <ns0:c r="J37" s="75" t="n">
        <ns0:v>0.2057477731564043</ns0:v>
      </ns0:c>
      <ns0:c r="K37" s="75" t="n">
        <ns0:v>-0.04629997059062035</ns0:v>
      </ns0:c>
      <ns0:c r="L37" s="75" t="n">
        <ns0:v>0.02452076866951624</ns0:v>
      </ns0:c>
      <ns0:c r="M37" s="74" t="n">
        <ns0:v>-0.3898541141624775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-1.077225139038793</ns0:v>
      </ns0:c>
      <ns0:c r="C42" s="78" t="n">
        <ns0:v>-0.02653169814790533</ns0:v>
      </ns0:c>
      <ns0:c r="D42" s="78" t="n">
        <ns0:v>-0.1027472522086363</ns0:v>
      </ns0:c>
      <ns0:c r="E42" s="78" t="n">
        <ns0:v>0.01328832299835233</ns0:v>
      </ns0:c>
      <ns0:c r="F42" s="78" t="n">
        <ns0:v>-0.03126345200039304</ns0:v>
      </ns0:c>
      <ns0:c r="G42" s="78" t="n">
        <ns0:v>-0.07590793423603207</ns0:v>
      </ns0:c>
      <ns0:c r="H42" s="78" t="n">
        <ns0:v>-0.0884020881373522</ns0:v>
      </ns0:c>
      <ns0:c r="I42" s="78" t="n">
        <ns0:v>-0.03604776712714835</ns0:v>
      </ns0:c>
      <ns0:c r="J42" s="78" t="n">
        <ns0:v>-0.02107582835004028</ns0:v>
      </ns0:c>
      <ns0:c r="K42" s="78" t="n">
        <ns0:v>-0.08225641227031123</ns0:v>
      </ns0:c>
      <ns0:c r="L42" s="78" t="n">
        <ns0:v>-0.1194716417631223</ns0:v>
      </ns0:c>
      <ns0:c r="M42" s="78" t="n">
        <ns0:v>0.04110445134105596</ns0:v>
      </ns0:c>
    </ns0:row>
    <ns0:row r="43" ht="30" customHeight="1">
      <ns0:c r="A43" s="73" t="inlineStr">
        <ns0:is>
          <ns0:t>نان و غلات</ns0:t>
        </ns0:is>
      </ns0:c>
      <ns0:c r="B43" s="78" t="n">
        <ns0:v>0.09261570628550521</ns0:v>
      </ns0:c>
      <ns0:c r="C43" s="77" t="n">
        <ns0:v>-0.7199728271022054</ns0:v>
      </ns0:c>
      <ns0:c r="D43" s="78" t="n">
        <ns0:v>0.1616594682413868</ns0:v>
      </ns0:c>
      <ns0:c r="E43" s="78" t="n">
        <ns0:v>-0.09054898950053052</ns0:v>
      </ns0:c>
      <ns0:c r="F43" s="78" t="n">
        <ns0:v>-0.01521462557072159</ns0:v>
      </ns0:c>
      <ns0:c r="G43" s="78" t="n">
        <ns0:v>0.02279805674111126</ns0:v>
      </ns0:c>
      <ns0:c r="H43" s="78" t="n">
        <ns0:v>-0.07197005162686931</ns0:v>
      </ns0:c>
      <ns0:c r="I43" s="78" t="n">
        <ns0:v>0.0256450285940107</ns0:v>
      </ns0:c>
      <ns0:c r="J43" s="78" t="n">
        <ns0:v>0.0342683575834215</ns0:v>
      </ns0:c>
      <ns0:c r="K43" s="78" t="n">
        <ns0:v>-0.00364810748710972</ns0:v>
      </ns0:c>
      <ns0:c r="L43" s="78" t="n">
        <ns0:v>0.06562141671275727</ns0:v>
      </ns0:c>
      <ns0:c r="M43" s="78" t="n">
        <ns0:v>-0.02875922018022351</ns0:v>
      </ns0:c>
    </ns0:row>
    <ns0:row r="44" ht="30" customHeight="1">
      <ns0:c r="A44" s="73" t="inlineStr">
        <ns0:is>
          <ns0:t>گوشت</ns0:t>
        </ns0:is>
      </ns0:c>
      <ns0:c r="B44" s="78" t="n">
        <ns0:v>-0.003086727698311571</ns0:v>
      </ns0:c>
      <ns0:c r="C44" s="78" t="n">
        <ns0:v>0.01407008845460507</ns0:v>
      </ns0:c>
      <ns0:c r="D44" s="77" t="n">
        <ns0:v>-0.9192851589874631</ns0:v>
      </ns0:c>
      <ns0:c r="E44" s="78" t="n">
        <ns0:v>-0.0176928740628059</ns0:v>
      </ns0:c>
      <ns0:c r="F44" s="78" t="n">
        <ns0:v>-0.07709279128489538</ns0:v>
      </ns0:c>
      <ns0:c r="G44" s="78" t="n">
        <ns0:v>-0.003524909438651999</ns0:v>
      </ns0:c>
      <ns0:c r="H44" s="78" t="n">
        <ns0:v>-0.09102562899850261</ns0:v>
      </ns0:c>
      <ns0:c r="I44" s="78" t="n">
        <ns0:v>-0.02109603104095736</ns0:v>
      </ns0:c>
      <ns0:c r="J44" s="78" t="n">
        <ns0:v>-0.04521152642500426</ns0:v>
      </ns0:c>
      <ns0:c r="K44" s="78" t="n">
        <ns0:v>-0.001871181113574928</ns0:v>
      </ns0:c>
      <ns0:c r="L44" s="78" t="n">
        <ns0:v>-0.04723063851487999</ns0:v>
      </ns0:c>
      <ns0:c r="M44" s="78" t="n">
        <ns0:v>-0.04872605952079522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0.1162601495237928</ns0:v>
      </ns0:c>
      <ns0:c r="C45" s="78" t="n">
        <ns0:v>-0.1772489520628581</ns0:v>
      </ns0:c>
      <ns0:c r="D45" s="78" t="n">
        <ns0:v>0.05801596216721426</ns0:v>
      </ns0:c>
      <ns0:c r="E45" s="77" t="n">
        <ns0:v>-0.7824940700909843</ns0:v>
      </ns0:c>
      <ns0:c r="F45" s="78" t="n">
        <ns0:v>-0.01452997368101642</ns0:v>
      </ns0:c>
      <ns0:c r="G45" s="78" t="n">
        <ns0:v>0.03613052657249154</ns0:v>
      </ns0:c>
      <ns0:c r="H45" s="78" t="n">
        <ns0:v>-0.1599078970790566</ns0:v>
      </ns0:c>
      <ns0:c r="I45" s="78" t="n">
        <ns0:v>0.04595998887464454</ns0:v>
      </ns0:c>
      <ns0:c r="J45" s="78" t="n">
        <ns0:v>0.1121462154026397</ns0:v>
      </ns0:c>
      <ns0:c r="K45" s="78" t="n">
        <ns0:v>-0.05455865445186599</ns0:v>
      </ns0:c>
      <ns0:c r="L45" s="78" t="n">
        <ns0:v>0.114855691021622</ns0:v>
      </ns0:c>
      <ns0:c r="M45" s="78" t="n">
        <ns0:v>-0.1203948266545113</ns0:v>
      </ns0:c>
    </ns0:row>
    <ns0:row r="46" ht="30" customHeight="1">
      <ns0:c r="A46" s="73" t="inlineStr">
        <ns0:is>
          <ns0:t>روغن و چربی</ns0:t>
        </ns0:is>
      </ns0:c>
      <ns0:c r="B46" s="78" t="n">
        <ns0:v>0.01964236346649476</ns0:v>
      </ns0:c>
      <ns0:c r="C46" s="78" t="n">
        <ns0:v>-0.09403652429698199</ns0:v>
      </ns0:c>
      <ns0:c r="D46" s="78" t="n">
        <ns0:v>-0.2152713455145308</ns0:v>
      </ns0:c>
      <ns0:c r="E46" s="78" t="n">
        <ns0:v>0.06431297543795952</ns0:v>
      </ns0:c>
      <ns0:c r="F46" s="77" t="n">
        <ns0:v>-0.431898692728848</ns0:v>
      </ns0:c>
      <ns0:c r="G46" s="78" t="n">
        <ns0:v>-0.05230523464774932</ns0:v>
      </ns0:c>
      <ns0:c r="H46" s="78" t="n">
        <ns0:v>-0.1125544258521581</ns0:v>
      </ns0:c>
      <ns0:c r="I46" s="78" t="n">
        <ns0:v>-0.1171696980730459</ns0:v>
      </ns0:c>
      <ns0:c r="J46" s="78" t="n">
        <ns0:v>0.03586620304388884</ns0:v>
      </ns0:c>
      <ns0:c r="K46" s="78" t="n">
        <ns0:v>-0.0136339324943289</ns0:v>
      </ns0:c>
      <ns0:c r="L46" s="78" t="n">
        <ns0:v>-0.09109894646774606</ns0:v>
      </ns0:c>
      <ns0:c r="M46" s="78" t="n">
        <ns0:v>-0.02482149373396126</ns0:v>
      </ns0:c>
    </ns0:row>
    <ns0:row r="47" ht="30" customHeight="1">
      <ns0:c r="A47" s="73" t="inlineStr">
        <ns0:is>
          <ns0:t>میوه</ns0:t>
        </ns0:is>
      </ns0:c>
      <ns0:c r="B47" s="78" t="n">
        <ns0:v>-0.1625722450520176</ns0:v>
      </ns0:c>
      <ns0:c r="C47" s="78" t="n">
        <ns0:v>-0.001152394317315388</ns0:v>
      </ns0:c>
      <ns0:c r="D47" s="78" t="n">
        <ns0:v>0.00630545722274294</ns0:v>
      </ns0:c>
      <ns0:c r="E47" s="78" t="n">
        <ns0:v>0.05366540995719082</ns0:v>
      </ns0:c>
      <ns0:c r="F47" s="78" t="n">
        <ns0:v>-0.08576452546366477</ns0:v>
      </ns0:c>
      <ns0:c r="G47" s="77" t="n">
        <ns0:v>-1.030068584813027</ns0:v>
      </ns0:c>
      <ns0:c r="H47" s="78" t="n">
        <ns0:v>0.1138154395703458</ns0:v>
      </ns0:c>
      <ns0:c r="I47" s="78" t="n">
        <ns0:v>-0.04129437797876701</ns0:v>
      </ns0:c>
      <ns0:c r="J47" s="78" t="n">
        <ns0:v>-0.2009627855692339</ns0:v>
      </ns0:c>
      <ns0:c r="K47" s="78" t="n">
        <ns0:v>0.05971847077290828</ns0:v>
      </ns0:c>
      <ns0:c r="L47" s="78" t="n">
        <ns0:v>-0.02832793659186463</ns0:v>
      </ns0:c>
      <ns0:c r="M47" s="78" t="n">
        <ns0:v>0.03126212096214059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-0.01068858933141906</ns0:v>
      </ns0:c>
      <ns0:c r="C48" s="78" t="n">
        <ns0:v>-0.128635187806662</ns0:v>
      </ns0:c>
      <ns0:c r="D48" s="78" t="n">
        <ns0:v>-0.07286026501014646</ns0:v>
      </ns0:c>
      <ns0:c r="E48" s="78" t="n">
        <ns0:v>-0.1617293670252037</ns0:v>
      </ns0:c>
      <ns0:c r="F48" s="78" t="n">
        <ns0:v>-0.00234306871166831</ns0:v>
      </ns0:c>
      <ns0:c r="G48" s="78" t="n">
        <ns0:v>0.06439652605078132</ns0:v>
      </ns0:c>
      <ns0:c r="H48" s="77" t="n">
        <ns0:v>-0.3322283551277129</ns0:v>
      </ns0:c>
      <ns0:c r="I48" s="78" t="n">
        <ns0:v>0.006117404175299579</ns0:v>
      </ns0:c>
      <ns0:c r="J48" s="78" t="n">
        <ns0:v>0.01488477576054959</ns0:v>
      </ns0:c>
      <ns0:c r="K48" s="78" t="n">
        <ns0:v>-0.07905592111745967</ns0:v>
      </ns0:c>
      <ns0:c r="L48" s="78" t="n">
        <ns0:v>0.0754348088695219</ns0:v>
      </ns0:c>
      <ns0:c r="M48" s="78" t="n">
        <ns0:v>-0.02221958571749126</ns0:v>
      </ns0:c>
    </ns0:row>
    <ns0:row r="49" ht="30" customHeight="1">
      <ns0:c r="A49" s="73" t="inlineStr">
        <ns0:is>
          <ns0:t>حبوبات</ns0:t>
        </ns0:is>
      </ns0:c>
      <ns0:c r="B49" s="78" t="n">
        <ns0:v>-0.07341669548449696</ns0:v>
      </ns0:c>
      <ns0:c r="C49" s="78" t="n">
        <ns0:v>0.007183379474854164</ns0:v>
      </ns0:c>
      <ns0:c r="D49" s="78" t="n">
        <ns0:v>-0.003150668540529171</ns0:v>
      </ns0:c>
      <ns0:c r="E49" s="78" t="n">
        <ns0:v>0.2153772045723242</ns0:v>
      </ns0:c>
      <ns0:c r="F49" s="78" t="n">
        <ns0:v>-0.1101236416681254</ns0:v>
      </ns0:c>
      <ns0:c r="G49" s="78" t="n">
        <ns0:v>-0.06282024912734069</ns0:v>
      </ns0:c>
      <ns0:c r="H49" s="78" t="n">
        <ns0:v>-0.135641851457808</ns0:v>
      </ns0:c>
      <ns0:c r="I49" s="77" t="n">
        <ns0:v>-0.7046337440268703</ns0:v>
      </ns0:c>
      <ns0:c r="J49" s="78" t="n">
        <ns0:v>-0.113714306530458</ns0:v>
      </ns0:c>
      <ns0:c r="K49" s="78" t="n">
        <ns0:v>-0.1654769358602482</ns0:v>
      </ns0:c>
      <ns0:c r="L49" s="78" t="n">
        <ns0:v>0.01972586080175958</ns0:v>
      </ns0:c>
      <ns0:c r="M49" s="78" t="n">
        <ns0:v>-0.005945254245147412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-0.1286071099169807</ns0:v>
      </ns0:c>
      <ns0:c r="C50" s="78" t="n">
        <ns0:v>-0.00398542606806518</ns0:v>
      </ns0:c>
      <ns0:c r="D50" s="78" t="n">
        <ns0:v>-0.25309873773458</ns0:v>
      </ns0:c>
      <ns0:c r="E50" s="78" t="n">
        <ns0:v>0.1641557408894156</ns0:v>
      </ns0:c>
      <ns0:c r="F50" s="78" t="n">
        <ns0:v>0.01803173249959219</ns0:v>
      </ns0:c>
      <ns0:c r="G50" s="78" t="n">
        <ns0:v>-0.1851702419394698</ns0:v>
      </ns0:c>
      <ns0:c r="H50" s="78" t="n">
        <ns0:v>-0.08734094437199168</ns0:v>
      </ns0:c>
      <ns0:c r="I50" s="78" t="n">
        <ns0:v>-0.1055039288857539</ns0:v>
      </ns0:c>
      <ns0:c r="J50" s="77" t="n">
        <ns0:v>-0.9951033440405501</ns0:v>
      </ns0:c>
      <ns0:c r="K50" s="78" t="n">
        <ns0:v>-0.0727792016111487</ns0:v>
      </ns0:c>
      <ns0:c r="L50" s="78" t="n">
        <ns0:v>-0.1507675953716136</ns0:v>
      </ns0:c>
      <ns0:c r="M50" s="78" t="n">
        <ns0:v>0.05065848447104501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-0.1173954400636334</ns0:v>
      </ns0:c>
      <ns0:c r="C51" s="78" t="n">
        <ns0:v>-0.07610987668666566</ns0:v>
      </ns0:c>
      <ns0:c r="D51" s="78" t="n">
        <ns0:v>0.01641497801712306</ns0:v>
      </ns0:c>
      <ns0:c r="E51" s="78" t="n">
        <ns0:v>-0.1141399635012445</ns0:v>
      </ns0:c>
      <ns0:c r="F51" s="78" t="n">
        <ns0:v>-0.004081997766939471</ns0:v>
      </ns0:c>
      <ns0:c r="G51" s="78" t="n">
        <ns0:v>0.05581649505802188</ns0:v>
      </ns0:c>
      <ns0:c r="H51" s="78" t="n">
        <ns0:v>-0.1134385587109357</ns0:v>
      </ns0:c>
      <ns0:c r="I51" s="78" t="n">
        <ns0:v>-0.0380030258246892</ns0:v>
      </ns0:c>
      <ns0:c r="J51" s="78" t="n">
        <ns0:v>-0.04083205691736497</ns0:v>
      </ns0:c>
      <ns0:c r="K51" s="77" t="n">
        <ns0:v>-0.4883801284429627</ns0:v>
      </ns0:c>
      <ns0:c r="L51" s="78" t="n">
        <ns0:v>-0.06988833711482742</ns0:v>
      </ns0:c>
      <ns0:c r="M51" s="78" t="n">
        <ns0:v>-0.006516727856706246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-0.2533484476068931</ns0:v>
      </ns0:c>
      <ns0:c r="C52" s="78" t="n">
        <ns0:v>0.1688156730987039</ns0:v>
      </ns0:c>
      <ns0:c r="D52" s="78" t="n">
        <ns0:v>-0.09890164914972156</ns0:v>
      </ns0:c>
      <ns0:c r="E52" s="78" t="n">
        <ns0:v>0.2588395185565972</ns0:v>
      </ns0:c>
      <ns0:c r="F52" s="78" t="n">
        <ns0:v>-0.1053553511413989</ns0:v>
      </ns0:c>
      <ns0:c r="G52" s="78" t="n">
        <ns0:v>-0.03001225748845268</ns0:v>
      </ns0:c>
      <ns0:c r="H52" s="78" t="n">
        <ns0:v>0.14078815625664</ns0:v>
      </ns0:c>
      <ns0:c r="I52" s="78" t="n">
        <ns0:v>0.057866960386107</ns0:v>
      </ns0:c>
      <ns0:c r="J52" s="78" t="n">
        <ns0:v>-0.1057198714760825</ns0:v>
      </ns0:c>
      <ns0:c r="K52" s="78" t="n">
        <ns0:v>-0.1870323060942345</ns0:v>
      </ns0:c>
      <ns0:c r="L52" s="77" t="n">
        <ns0:v>-0.8305275094859024</ns0:v>
      </ns0:c>
      <ns0:c r="M52" s="78" t="n">
        <ns0:v>0.0560240330257633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0.25629781301306</ns0:v>
      </ns0:c>
      <ns0:c r="C53" s="78" t="n">
        <ns0:v>-0.1007733927504401</ns0:v>
      </ns0:c>
      <ns0:c r="D53" s="78" t="n">
        <ns0:v>-0.1541834239256459</ns0:v>
      </ns0:c>
      <ns0:c r="E53" s="78" t="n">
        <ns0:v>-0.3329224369411868</ns0:v>
      </ns0:c>
      <ns0:c r="F53" s="78" t="n">
        <ns0:v>-0.04632089662764187</ns0:v>
      </ns0:c>
      <ns0:c r="G53" s="78" t="n">
        <ns0:v>0.0714869442385056</ns0:v>
      </ns0:c>
      <ns0:c r="H53" s="78" t="n">
        <ns0:v>-0.09222409159811536</ns0:v>
      </ns0:c>
      <ns0:c r="I53" s="78" t="n">
        <ns0:v>-0.03182829608092658</ns0:v>
      </ns0:c>
      <ns0:c r="J53" s="78" t="n">
        <ns0:v>0.2001006017448559</ns0:v>
      </ns0:c>
      <ns0:c r="K53" s="78" t="n">
        <ns0:v>-0.03514913601379492</ns0:v>
      </ns0:c>
      <ns0:c r="L53" s="78" t="n">
        <ns0:v>0.03134279132449033</ns0:v>
      </ns0:c>
      <ns0:c r="M53" s="77" t="n">
        <ns0:v>-0.3875618777394383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سال 1395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-1.0782</ns0:v>
      </ns0:c>
      <ns0:c r="C6" s="69" t="n">
        <ns0:v>-1.0761</ns0:v>
      </ns0:c>
      <ns0:c r="D6" s="70" t="n">
        <ns0:v>1.5693</ns0:v>
      </ns0:c>
      <ns0:c r="E6" s="69" t="n">
        <ns0:v>1.6156</ns0:v>
      </ns0:c>
    </ns0:row>
    <ns0:row r="7" ht="23" customHeight="1">
      <ns0:c r="A7" s="28" t="inlineStr">
        <ns0:is>
          <ns0:t>نان و غلات</ns0:t>
        </ns0:is>
      </ns0:c>
      <ns0:c r="B7" s="68" t="n">
        <ns0:v>-0.7401</ns0:v>
      </ns0:c>
      <ns0:c r="C7" s="69" t="n">
        <ns0:v>-0.7134</ns0:v>
      </ns0:c>
      <ns0:c r="D7" s="70" t="n">
        <ns0:v>0.61</ns0:v>
      </ns0:c>
      <ns0:c r="E7" s="69" t="n">
        <ns0:v>0.5286999999999999</ns0:v>
      </ns0:c>
    </ns0:row>
    <ns0:row r="8" ht="23" customHeight="1">
      <ns0:c r="A8" s="28" t="inlineStr">
        <ns0:is>
          <ns0:t>گوشت</ns0:t>
        </ns0:is>
      </ns0:c>
      <ns0:c r="B8" s="68" t="n">
        <ns0:v>-0.9072</ns0:v>
      </ns0:c>
      <ns0:c r="C8" s="69" t="n">
        <ns0:v>-0.9183</ns0:v>
      </ns0:c>
      <ns0:c r="D8" s="70" t="n">
        <ns0:v>1.2418</ns0:v>
      </ns0:c>
      <ns0:c r="E8" s="69" t="n">
        <ns0:v>1.264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-0.7917999999999999</ns0:v>
      </ns0:c>
      <ns0:c r="C9" s="69" t="n">
        <ns0:v>-0.7856</ns0:v>
      </ns0:c>
      <ns0:c r="D9" s="70" t="n">
        <ns0:v>0.8591</ns0:v>
      </ns0:c>
      <ns0:c r="E9" s="69" t="n">
        <ns0:v>0.8327</ns0:v>
      </ns0:c>
    </ns0:row>
    <ns0:row r="10" ht="23" customHeight="1">
      <ns0:c r="A10" s="28" t="inlineStr">
        <ns0:is>
          <ns0:t>روغن و چربی</ns0:t>
        </ns0:is>
      </ns0:c>
      <ns0:c r="B10" s="68" t="n">
        <ns0:v>-0.4045</ns0:v>
      </ns0:c>
      <ns0:c r="C10" s="69" t="n">
        <ns0:v>-0.3983</ns0:v>
      </ns0:c>
      <ns0:c r="D10" s="70" t="n">
        <ns0:v>0.6605</ns0:v>
      </ns0:c>
      <ns0:c r="E10" s="69" t="n">
        <ns0:v>1.0109</ns0:v>
      </ns0:c>
    </ns0:row>
    <ns0:row r="11" ht="23" customHeight="1">
      <ns0:c r="A11" s="28" t="inlineStr">
        <ns0:is>
          <ns0:t>میوه</ns0:t>
        </ns0:is>
      </ns0:c>
      <ns0:c r="B11" s="68" t="n">
        <ns0:v>-1.0293</ns0:v>
      </ns0:c>
      <ns0:c r="C11" s="69" t="n">
        <ns0:v>-1.0241</ns0:v>
      </ns0:c>
      <ns0:c r="D11" s="70" t="n">
        <ns0:v>1.2239</ns0:v>
      </ns0:c>
      <ns0:c r="E11" s="69" t="n">
        <ns0:v>1.2588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-0.3749</ns0:v>
      </ns0:c>
      <ns0:c r="C12" s="69" t="n">
        <ns0:v>-0.3633</ns0:v>
      </ns0:c>
      <ns0:c r="D12" s="70" t="n">
        <ns0:v>0.7161</ns0:v>
      </ns0:c>
      <ns0:c r="E12" s="69" t="n">
        <ns0:v>0.6449</ns0:v>
      </ns0:c>
    </ns0:row>
    <ns0:row r="13" ht="23" customHeight="1">
      <ns0:c r="A13" s="28" t="inlineStr">
        <ns0:is>
          <ns0:t>حبوبات</ns0:t>
        </ns0:is>
      </ns0:c>
      <ns0:c r="B13" s="68" t="n">
        <ns0:v>-0.7032</ns0:v>
      </ns0:c>
      <ns0:c r="C13" s="69" t="n">
        <ns0:v>-0.7269</ns0:v>
      </ns0:c>
      <ns0:c r="D13" s="70" t="n">
        <ns0:v>0.9391</ns0:v>
      </ns0:c>
      <ns0:c r="E13" s="69" t="n">
        <ns0:v>1.1847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-0.9747</ns0:v>
      </ns0:c>
      <ns0:c r="C14" s="69" t="n">
        <ns0:v>-0.981</ns0:v>
      </ns0:c>
      <ns0:c r="D14" s="70" t="n">
        <ns0:v>2.074</ns0:v>
      </ns0:c>
      <ns0:c r="E14" s="69" t="n">
        <ns0:v>1.5737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-0.5182</ns0:v>
      </ns0:c>
      <ns0:c r="C15" s="69" t="n">
        <ns0:v>-0.5158</ns0:v>
      </ns0:c>
      <ns0:c r="D15" s="70" t="n">
        <ns0:v>0.9923</ns0:v>
      </ns0:c>
      <ns0:c r="E15" s="69" t="n">
        <ns0:v>0.971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-0.8207</ns0:v>
      </ns0:c>
      <ns0:c r="C16" s="69" t="n">
        <ns0:v>-0.8296</ns0:v>
      </ns0:c>
      <ns0:c r="D16" s="70" t="n">
        <ns0:v>0.8254</ns0:v>
      </ns0:c>
      <ns0:c r="E16" s="69" t="n">
        <ns0:v>1.0114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-0.3868</ns0:v>
      </ns0:c>
      <ns0:c r="C17" s="69" t="n">
        <ns0:v>-0.385</ns0:v>
      </ns0:c>
      <ns0:c r="D17" s="70" t="n">
        <ns0:v>0.8004</ns0:v>
      </ns0:c>
      <ns0:c r="E17" s="69" t="n">
        <ns0:v>0.6303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-1.078159035706173</ns0:v>
      </ns0:c>
      <ns0:c r="C26" s="75" t="n">
        <ns0:v>-0.009212806181157062</ns0:v>
      </ns0:c>
      <ns0:c r="D26" s="75" t="n">
        <ns0:v>-0.09096709675556332</ns0:v>
      </ns0:c>
      <ns0:c r="E26" s="75" t="n">
        <ns0:v>0.02020104557792071</ns0:v>
      </ns0:c>
      <ns0:c r="F26" s="75" t="n">
        <ns0:v>-0.03408338578037726</ns0:v>
      </ns0:c>
      <ns0:c r="G26" s="75" t="n">
        <ns0:v>-0.07654989503165517</ns0:v>
      </ns0:c>
      <ns0:c r="H26" s="75" t="n">
        <ns0:v>-0.08374816049129026</ns0:v>
      </ns0:c>
      <ns0:c r="I26" s="75" t="n">
        <ns0:v>-0.03764251910035733</ns0:v>
      </ns0:c>
      <ns0:c r="J26" s="75" t="n">
        <ns0:v>-0.01898634376551026</ns0:v>
      </ns0:c>
      <ns0:c r="K26" s="75" t="n">
        <ns0:v>-0.08597936836289685</ns0:v>
      </ns0:c>
      <ns0:c r="L26" s="75" t="n">
        <ns0:v>-0.1170917236912077</ns0:v>
      </ns0:c>
      <ns0:c r="M26" s="75" t="n">
        <ns0:v>0.04480914477520263</ns0:v>
      </ns0:c>
    </ns0:row>
    <ns0:row r="27" ht="30" customHeight="1">
      <ns0:c r="A27" s="73" t="inlineStr">
        <ns0:is>
          <ns0:t>نان و غلات</ns0:t>
        </ns0:is>
      </ns0:c>
      <ns0:c r="B27" s="75" t="n">
        <ns0:v>0.0945447372358148</ns0:v>
      </ns0:c>
      <ns0:c r="C27" s="74" t="n">
        <ns0:v>-0.7401365392917576</ns0:v>
      </ns0:c>
      <ns0:c r="D27" s="75" t="n">
        <ns0:v>0.1493747572654788</ns0:v>
      </ns0:c>
      <ns0:c r="E27" s="75" t="n">
        <ns0:v>-0.1035708055206062</ns0:v>
      </ns0:c>
      <ns0:c r="F27" s="75" t="n">
        <ns0:v>-0.005258282722249269</ns0:v>
      </ns0:c>
      <ns0:c r="G27" s="75" t="n">
        <ns0:v>0.0222889674790944</ns0:v>
      </ns0:c>
      <ns0:c r="H27" s="75" t="n">
        <ns0:v>-0.07969608102068027</ns0:v>
      </ns0:c>
      <ns0:c r="I27" s="75" t="n">
        <ns0:v>0.02481952966491307</ns0:v>
      </ns0:c>
      <ns0:c r="J27" s="75" t="n">
        <ns0:v>0.02530171978079434</ns0:v>
      </ns0:c>
      <ns0:c r="K27" s="75" t="n">
        <ns0:v>-0.004171180150060071</ns0:v>
      </ns0:c>
      <ns0:c r="L27" s="75" t="n">
        <ns0:v>0.06123230183582389</ns0:v>
      </ns0:c>
      <ns0:c r="M27" s="75" t="n">
        <ns0:v>-0.03536653588488797</ns0:v>
      </ns0:c>
    </ns0:row>
    <ns0:row r="28" ht="30" customHeight="1">
      <ns0:c r="A28" s="73" t="inlineStr">
        <ns0:is>
          <ns0:t>گوشت</ns0:t>
        </ns0:is>
      </ns0:c>
      <ns0:c r="B28" s="75" t="n">
        <ns0:v>0.001364834239279188</ns0:v>
      </ns0:c>
      <ns0:c r="C28" s="75" t="n">
        <ns0:v>0.01833918441801807</ns0:v>
      </ns0:c>
      <ns0:c r="D28" s="74" t="n">
        <ns0:v>-0.9072471204680018</ns0:v>
      </ns0:c>
      <ns0:c r="E28" s="75" t="n">
        <ns0:v>-0.01281982198175302</ns0:v>
      </ns0:c>
      <ns0:c r="F28" s="75" t="n">
        <ns0:v>-0.08710736247434379</ns0:v>
      </ns0:c>
      <ns0:c r="G28" s="75" t="n">
        <ns0:v>-0.00513653376909356</ns0:v>
      </ns0:c>
      <ns0:c r="H28" s="75" t="n">
        <ns0:v>-0.09117964020284505</ns0:v>
      </ns0:c>
      <ns0:c r="I28" s="75" t="n">
        <ns0:v>-0.0220819553866684</ns0:v>
      </ns0:c>
      <ns0:c r="J28" s="75" t="n">
        <ns0:v>-0.04353012907861616</ns0:v>
      </ns0:c>
      <ns0:c r="K28" s="75" t="n">
        <ns0:v>0.003309847243229906</ns0:v>
      </ns0:c>
      <ns0:c r="L28" s="75" t="n">
        <ns0:v>-0.04894525137710008</ns0:v>
      </ns0:c>
      <ns0:c r="M28" s="75" t="n">
        <ns0:v>-0.04768333132892444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0.1126834100649186</ns0:v>
      </ns0:c>
      <ns0:c r="C29" s="75" t="n">
        <ns0:v>-0.1854396320597397</ns0:v>
      </ns0:c>
      <ns0:c r="D29" s="75" t="n">
        <ns0:v>0.05696024657117139</ns0:v>
      </ns0:c>
      <ns0:c r="E29" s="74" t="n">
        <ns0:v>-0.7918460370971819</ns0:v>
      </ns0:c>
      <ns0:c r="F29" s="75" t="n">
        <ns0:v>0.0008551374230655312</ns0:v>
      </ns0:c>
      <ns0:c r="G29" s="75" t="n">
        <ns0:v>0.03586539771740549</ns0:v>
      </ns0:c>
      <ns0:c r="H29" s="75" t="n">
        <ns0:v>-0.1635882309960152</ns0:v>
      </ns0:c>
      <ns0:c r="I29" s="75" t="n">
        <ns0:v>0.04617214419541075</ns0:v>
      </ns0:c>
      <ns0:c r="J29" s="75" t="n">
        <ns0:v>0.09368119365050102</ns0:v>
      </ns0:c>
      <ns0:c r="K29" s="75" t="n">
        <ns0:v>-0.04948343408204332</ns0:v>
      </ns0:c>
      <ns0:c r="L29" s="75" t="n">
        <ns0:v>0.1145939761116072</ns0:v>
      </ns0:c>
      <ns0:c r="M29" s="75" t="n">
        <ns0:v>-0.1252028228627411</ns0:v>
      </ns0:c>
    </ns0:row>
    <ns0:row r="30" ht="30" customHeight="1">
      <ns0:c r="A30" s="73" t="inlineStr">
        <ns0:is>
          <ns0:t>روغن و چربی</ns0:t>
        </ns0:is>
      </ns0:c>
      <ns0:c r="B30" s="75" t="n">
        <ns0:v>0.02870405609819204</ns0:v>
      </ns0:c>
      <ns0:c r="C30" s="75" t="n">
        <ns0:v>-0.009281605644997144</ns0:v>
      </ns0:c>
      <ns0:c r="D30" s="75" t="n">
        <ns0:v>-0.1953274744825368</ns0:v>
      </ns0:c>
      <ns0:c r="E30" s="75" t="n">
        <ns0:v>0.1340658097472161</ns0:v>
      </ns0:c>
      <ns0:c r="F30" s="74" t="n">
        <ns0:v>-0.4044548986933446</ns0:v>
      </ns0:c>
      <ns0:c r="G30" s="75" t="n">
        <ns0:v>-0.03877263763260303</ns0:v>
      </ns0:c>
      <ns0:c r="H30" s="75" t="n">
        <ns0:v>-0.06852083672759744</ns0:v>
      </ns0:c>
      <ns0:c r="I30" s="75" t="n">
        <ns0:v>-0.1022384584156777</ns0:v>
      </ns0:c>
      <ns0:c r="J30" s="75" t="n">
        <ns0:v>0.06960519198922331</ns0:v>
      </ns0:c>
      <ns0:c r="K30" s="75" t="n">
        <ns0:v>-0.008782492958929911</ns0:v>
      </ns0:c>
      <ns0:c r="L30" s="75" t="n">
        <ns0:v>-0.08170152402978011</ns0:v>
      </ns0:c>
      <ns0:c r="M30" s="75" t="n">
        <ns0:v>-0.008909131957463073</ns0:v>
      </ns0:c>
    </ns0:row>
    <ns0:row r="31" ht="30" customHeight="1">
      <ns0:c r="A31" s="73" t="inlineStr">
        <ns0:is>
          <ns0:t>میوه</ns0:t>
        </ns0:is>
      </ns0:c>
      <ns0:c r="B31" s="75" t="n">
        <ns0:v>-0.1559917996855907</ns0:v>
      </ns0:c>
      <ns0:c r="C31" s="75" t="n">
        <ns0:v>0.011168528870771</ns0:v>
      </ns0:c>
      <ns0:c r="D31" s="75" t="n">
        <ns0:v>0.003803251594149548</ns0:v>
      </ns0:c>
      <ns0:c r="E31" s="75" t="n">
        <ns0:v>0.05756892725822549</ns0:v>
      </ns0:c>
      <ns0:c r="F31" s="75" t="n">
        <ns0:v>-0.07751125832471555</ns0:v>
      </ns0:c>
      <ns0:c r="G31" s="74" t="n">
        <ns0:v>-1.029289198890799</ns0:v>
      </ns0:c>
      <ns0:c r="H31" s="75" t="n">
        <ns0:v>0.1189621654404178</ns0:v>
      </ns0:c>
      <ns0:c r="I31" s="75" t="n">
        <ns0:v>-0.03733363546684859</ns0:v>
      </ns0:c>
      <ns0:c r="J31" s="75" t="n">
        <ns0:v>-0.1927893708131256</ns0:v>
      </ns0:c>
      <ns0:c r="K31" s="75" t="n">
        <ns0:v>0.06183046632934652</ns0:v>
      </ns0:c>
      <ns0:c r="L31" s="75" t="n">
        <ns0:v>-0.02789093995740372</ns0:v>
      </ns0:c>
      <ns0:c r="M31" s="75" t="n">
        <ns0:v>0.03419480392772777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-0.0108993933247736</ns0:v>
      </ns0:c>
      <ns0:c r="C32" s="75" t="n">
        <ns0:v>-0.1388724793546236</ns0:v>
      </ns0:c>
      <ns0:c r="D32" s="75" t="n">
        <ns0:v>-0.08131115202119406</ns0:v>
      </ns0:c>
      <ns0:c r="E32" s="75" t="n">
        <ns0:v>-0.1629535734501495</ns0:v>
      </ns0:c>
      <ns0:c r="F32" s="75" t="n">
        <ns0:v>-0.003957153457913982</ns0:v>
      </ns0:c>
      <ns0:c r="G32" s="75" t="n">
        <ns0:v>0.0584245091903967</ns0:v>
      </ns0:c>
      <ns0:c r="H32" s="74" t="n">
        <ns0:v>-0.3748615275410961</ns0:v>
      </ns0:c>
      <ns0:c r="I32" s="75" t="n">
        <ns0:v>0.001466769920309467</ns0:v>
      </ns0:c>
      <ns0:c r="J32" s="75" t="n">
        <ns0:v>0.01752584872729785</ns0:v>
      </ns0:c>
      <ns0:c r="K32" s="75" t="n">
        <ns0:v>-0.08335668445395633</ns0:v>
      </ns0:c>
      <ns0:c r="L32" s="75" t="n">
        <ns0:v>0.07013971673220823</ns0:v>
      </ns0:c>
      <ns0:c r="M32" s="75" t="n">
        <ns0:v>-0.03160247450180687</ns0:v>
      </ns0:c>
    </ns0:row>
    <ns0:row r="33" ht="30" customHeight="1">
      <ns0:c r="A33" s="73" t="inlineStr">
        <ns0:is>
          <ns0:t>حبوبات</ns0:t>
        </ns0:is>
      </ns0:c>
      <ns0:c r="B33" s="75" t="n">
        <ns0:v>-0.05835443460822658</ns0:v>
      </ns0:c>
      <ns0:c r="C33" s="75" t="n">
        <ns0:v>0.04155446648667634</ns0:v>
      </ns0:c>
      <ns0:c r="D33" s="75" t="n">
        <ns0:v>0.04475839369340816</ns0:v>
      </ns0:c>
      <ns0:c r="E33" s="75" t="n">
        <ns0:v>0.242760973054709</ns0:v>
      </ns0:c>
      <ns0:c r="F33" s="75" t="n">
        <ns0:v>-0.09198822093971014</ns0:v>
      </ns0:c>
      <ns0:c r="G33" s="75" t="n">
        <ns0:v>-0.04867036500530243</ns0:v>
      </ns0:c>
      <ns0:c r="H33" s="75" t="n">
        <ns0:v>-0.1086767471385232</ns0:v>
      </ns0:c>
      <ns0:c r="I33" s="74" t="n">
        <ns0:v>-0.703249019303857</ns0:v>
      </ns0:c>
      <ns0:c r="J33" s="75" t="n">
        <ns0:v>-0.1164954342365465</ns0:v>
      </ns0:c>
      <ns0:c r="K33" s="75" t="n">
        <ns0:v>-0.1506678337283087</ns0:v>
      </ns0:c>
      <ns0:c r="L33" s="75" t="n">
        <ns0:v>0.03335394113382389</ns0:v>
      </ns0:c>
      <ns0:c r="M33" s="75" t="n">
        <ns0:v>0.004183093745263961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-0.1527664365562239</ns0:v>
      </ns0:c>
      <ns0:c r="C34" s="75" t="n">
        <ns0:v>-0.09253851126522196</ns0:v>
      </ns0:c>
      <ns0:c r="D34" s="75" t="n">
        <ns0:v>-0.3506876674211151</ns0:v>
      </ns0:c>
      <ns0:c r="E34" s="75" t="n">
        <ns0:v>0.0855642837140735</ns0:v>
      </ns0:c>
      <ns0:c r="F34" s="75" t="n">
        <ns0:v>0.006138035573940554</ns0:v>
      </ns0:c>
      <ns0:c r="G34" s="75" t="n">
        <ns0:v>-0.2103556431672817</ns0:v>
      </ns0:c>
      <ns0:c r="H34" s="75" t="n">
        <ns0:v>-0.1250733250909649</ns0:v>
      </ns0:c>
      <ns0:c r="I34" s="75" t="n">
        <ns0:v>-0.1457237279442495</ns0:v>
      </ns0:c>
      <ns0:c r="J34" s="74" t="n">
        <ns0:v>-0.974718411039425</ns0:v>
      </ns0:c>
      <ns0:c r="K34" s="75" t="n">
        <ns0:v>-0.1004590399677741</ns0:v>
      </ns0:c>
      <ns0:c r="L34" s="75" t="n">
        <ns0:v>-0.1755740176288826</ns0:v>
      </ns0:c>
      <ns0:c r="M34" s="75" t="n">
        <ns0:v>0.05523215818276127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-0.1245455332502272</ns0:v>
      </ns0:c>
      <ns0:c r="C35" s="75" t="n">
        <ns0:v>-0.06744130853208016</ns0:v>
      </ns0:c>
      <ns0:c r="D35" s="75" t="n">
        <ns0:v>0.01795048016166422</ns0:v>
      </ns0:c>
      <ns0:c r="E35" s="75" t="n">
        <ns0:v>-0.1100610428313753</ns0:v>
      </ns0:c>
      <ns0:c r="F35" s="75" t="n">
        <ns0:v>-0.01576713661042127</ns0:v>
      </ns0:c>
      <ns0:c r="G35" s="75" t="n">
        <ns0:v>0.05097936865769104</ns0:v>
      </ns0:c>
      <ns0:c r="H35" s="75" t="n">
        <ns0:v>-0.1111564700461285</ns0:v>
      </ns0:c>
      <ns0:c r="I35" s="75" t="n">
        <ns0:v>-0.04156556063200528</ns0:v>
      </ns0:c>
      <ns0:c r="J35" s="75" t="n">
        <ns0:v>-0.02624987715264791</ns0:v>
      </ns0:c>
      <ns0:c r="K35" s="74" t="n">
        <ns0:v>-0.5182319427764595</ns0:v>
      </ns0:c>
      <ns0:c r="L35" s="75" t="n">
        <ns0:v>-0.06392311078568035</ns0:v>
      </ns0:c>
      <ns0:c r="M35" s="75" t="n">
        <ns0:v>-0.003857011334602243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-0.2421781977659853</ns0:v>
      </ns0:c>
      <ns0:c r="C36" s="75" t="n">
        <ns0:v>0.1979375296323449</ns0:v>
      </ns0:c>
      <ns0:c r="D36" s="75" t="n">
        <ns0:v>-0.07429241189952461</ns0:v>
      </ns0:c>
      <ns0:c r="E36" s="75" t="n">
        <ns0:v>0.2973805210248059</ns0:v>
      </ns0:c>
      <ns0:c r="F36" s="75" t="n">
        <ns0:v>-0.1018575435403112</ns0:v>
      </ns0:c>
      <ns0:c r="G36" s="75" t="n">
        <ns0:v>-0.02349367004189272</ns0:v>
      </ns0:c>
      <ns0:c r="H36" s="75" t="n">
        <ns0:v>0.1716811871440868</ns0:v>
      </ns0:c>
      <ns0:c r="I36" s="75" t="n">
        <ns0:v>0.07607133341800509</ns0:v>
      </ns0:c>
      <ns0:c r="J36" s="75" t="n">
        <ns0:v>-0.1181396949632883</ns0:v>
      </ns0:c>
      <ns0:c r="K36" s="75" t="n">
        <ns0:v>-0.1835488177880063</ns0:v>
      </ns0:c>
      <ns0:c r="L36" s="74" t="n">
        <ns0:v>-0.8206725674189471</ns0:v>
      </ns0:c>
      <ns0:c r="M36" s="75" t="n">
        <ns0:v>0.06848314388409299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0.2442331530952023</ns0:v>
      </ns0:c>
      <ns0:c r="C37" s="75" t="n">
        <ns0:v>-0.1412291314387602</ns0:v>
      </ns0:c>
      <ns0:c r="D37" s="75" t="n">
        <ns0:v>-0.1883761132822797</ns0:v>
      </ns0:c>
      <ns0:c r="E37" s="75" t="n">
        <ns0:v>-0.3683458544036285</ns0:v>
      </ns0:c>
      <ns0:c r="F37" s="75" t="n">
        <ns0:v>-0.04933283381576675</ns0:v>
      </ns0:c>
      <ns0:c r="G37" s="75" t="n">
        <ns0:v>0.06585988675403724</ns0:v>
      </ns0:c>
      <ns0:c r="H37" s="75" t="n">
        <ns0:v>-0.115484433795556</ns0:v>
      </ns0:c>
      <ns0:c r="I37" s="75" t="n">
        <ns0:v>-0.03753706367535357</ns0:v>
      </ns0:c>
      <ns0:c r="J37" s="75" t="n">
        <ns0:v>0.2067372895315477</ns0:v>
      </ns0:c>
      <ns0:c r="K37" s="75" t="n">
        <ns0:v>-0.04632157431651951</ns0:v>
      </ns0:c>
      <ns0:c r="L37" s="75" t="n">
        <ns0:v>0.02410039670523125</ns0:v>
      </ns0:c>
      <ns0:c r="M37" s="74" t="n">
        <ns0:v>-0.3868271156426046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-1.076141990624927</ns0:v>
      </ns0:c>
      <ns0:c r="C42" s="78" t="n">
        <ns0:v>-0.02574233252740435</ns0:v>
      </ns0:c>
      <ns0:c r="D42" s="78" t="n">
        <ns0:v>-0.103141594656125</ns0:v>
      </ns0:c>
      <ns0:c r="E42" s="78" t="n">
        <ns0:v>0.01352877402767304</ns0:v>
      </ns0:c>
      <ns0:c r="F42" s="78" t="n">
        <ns0:v>-0.0294543927367614</ns0:v>
      </ns0:c>
      <ns0:c r="G42" s="78" t="n">
        <ns0:v>-0.07803702564204291</ns0:v>
      </ns0:c>
      <ns0:c r="H42" s="78" t="n">
        <ns0:v>-0.09277896043202848</ns0:v>
      </ns0:c>
      <ns0:c r="I42" s="78" t="n">
        <ns0:v>-0.03820058865811795</ns0:v>
      </ns0:c>
      <ns0:c r="J42" s="78" t="n">
        <ns0:v>-0.02034842729649504</ns0:v>
      </ns0:c>
      <ns0:c r="K42" s="78" t="n">
        <ns0:v>-0.08558311967475268</ns0:v>
      </ns0:c>
      <ns0:c r="L42" s="78" t="n">
        <ns0:v>-0.1204803761196196</ns0:v>
      </ns0:c>
      <ns0:c r="M42" s="78" t="n">
        <ns0:v>0.04253417629901217</ns0:v>
      </ns0:c>
    </ns0:row>
    <ns0:row r="43" ht="30" customHeight="1">
      <ns0:c r="A43" s="73" t="inlineStr">
        <ns0:is>
          <ns0:t>نان و غلات</ns0:t>
        </ns0:is>
      </ns0:c>
      <ns0:c r="B43" s="78" t="n">
        <ns0:v>0.0918321207816281</ns0:v>
      </ns0:c>
      <ns0:c r="C43" s="77" t="n">
        <ns0:v>-0.7134208131373192</ns0:v>
      </ns0:c>
      <ns0:c r="D43" s="78" t="n">
        <ns0:v>0.1642473715760912</ns0:v>
      </ns0:c>
      <ns0:c r="E43" s="78" t="n">
        <ns0:v>-0.0896659421308825</ns0:v>
      </ns0:c>
      <ns0:c r="F43" s="78" t="n">
        <ns0:v>-0.01655833263249126</ns0:v>
      </ns0:c>
      <ns0:c r="G43" s="78" t="n">
        <ns0:v>0.02373667735326035</ns0:v>
      </ns0:c>
      <ns0:c r="H43" s="78" t="n">
        <ns0:v>-0.06864660816562852</ns0:v>
      </ns0:c>
      <ns0:c r="I43" s="78" t="n">
        <ns0:v>0.02796399525921467</ns0:v>
      </ns0:c>
      <ns0:c r="J43" s="78" t="n">
        <ns0:v>0.03445180193623154</ns0:v>
      </ns0:c>
      <ns0:c r="K43" s="78" t="n">
        <ns0:v>-0.0009283269565319526</ns0:v>
      </ns0:c>
      <ns0:c r="L43" s="78" t="n">
        <ns0:v>0.06604060477103381</ns0:v>
      </ns0:c>
      <ns0:c r="M43" s="78" t="n">
        <ns0:v>-0.02923097951909607</ns0:v>
      </ns0:c>
    </ns0:row>
    <ns0:row r="44" ht="30" customHeight="1">
      <ns0:c r="A44" s="73" t="inlineStr">
        <ns0:is>
          <ns0:t>گوشت</ns0:t>
        </ns0:is>
      </ns0:c>
      <ns0:c r="B44" s="78" t="n">
        <ns0:v>-0.002016201740093536</ns0:v>
      </ns0:c>
      <ns0:c r="C44" s="78" t="n">
        <ns0:v>0.01385205650618527</ns0:v>
      </ns0:c>
      <ns0:c r="D44" s="77" t="n">
        <ns0:v>-0.918325015490065</ns0:v>
      </ns0:c>
      <ns0:c r="E44" s="78" t="n">
        <ns0:v>-0.01836837599065107</ns0:v>
      </ns0:c>
      <ns0:c r="F44" s="78" t="n">
        <ns0:v>-0.07678399827078544</ns0:v>
      </ns0:c>
      <ns0:c r="G44" s="78" t="n">
        <ns0:v>-0.00384298456007476</ns0:v>
      </ns0:c>
      <ns0:c r="H44" s="78" t="n">
        <ns0:v>-0.09310574166498378</ns0:v>
      </ns0:c>
      <ns0:c r="I44" s="78" t="n">
        <ns0:v>-0.02230965229231821</ns0:v>
      </ns0:c>
      <ns0:c r="J44" s="78" t="n">
        <ns0:v>-0.04510992624934679</ns0:v>
      </ns0:c>
      <ns0:c r="K44" s="78" t="n">
        <ns0:v>-0.00275050085807771</ns0:v>
      </ns0:c>
      <ns0:c r="L44" s="78" t="n">
        <ns0:v>-0.04708568159164533</ns0:v>
      </ns0:c>
      <ns0:c r="M44" s="78" t="n">
        <ns0:v>-0.04894705063666704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0.1142918305047738</ns0:v>
      </ns0:c>
      <ns0:c r="C45" s="78" t="n">
        <ns0:v>-0.1753344945517161</ns0:v>
      </ns0:c>
      <ns0:c r="D45" s="78" t="n">
        <ns0:v>0.05682081781106992</ns0:v>
      </ns0:c>
      <ns0:c r="E45" s="77" t="n">
        <ns0:v>-0.7855630286788641</ns0:v>
      </ns0:c>
      <ns0:c r="F45" s="78" t="n">
        <ns0:v>-0.0147375756767854</ns0:v>
      </ns0:c>
      <ns0:c r="G45" s="78" t="n">
        <ns0:v>0.0356497340210564</ns0:v>
      </ns0:c>
      <ns0:c r="H45" s="78" t="n">
        <ns0:v>-0.1574246604953035</ns0:v>
      </ns0:c>
      <ns0:c r="I45" s="78" t="n">
        <ns0:v>0.0463491181578799</ns0:v>
      </ns0:c>
      <ns0:c r="J45" s="78" t="n">
        <ns0:v>0.11158462906026</ns0:v>
      </ns0:c>
      <ns0:c r="K45" s="78" t="n">
        <ns0:v>-0.0540160090736161</ns0:v>
      </ns0:c>
      <ns0:c r="L45" s="78" t="n">
        <ns0:v>0.1134706528717403</ns0:v>
      </ns0:c>
      <ns0:c r="M45" s="78" t="n">
        <ns0:v>-0.1195639434420716</ns0:v>
      </ns0:c>
    </ns0:row>
    <ns0:row r="46" ht="30" customHeight="1">
      <ns0:c r="A46" s="73" t="inlineStr">
        <ns0:is>
          <ns0:t>روغن و چربی</ns0:t>
        </ns0:is>
      </ns0:c>
      <ns0:c r="B46" s="78" t="n">
        <ns0:v>0.01981920789890729</ns0:v>
      </ns0:c>
      <ns0:c r="C46" s="78" t="n">
        <ns0:v>-0.1005391519152242</ns0:v>
      </ns0:c>
      <ns0:c r="D46" s="78" t="n">
        <ns0:v>-0.2299125018338335</ns0:v>
      </ns0:c>
      <ns0:c r="E46" s="78" t="n">
        <ns0:v>0.06985413026823641</ns0:v>
      </ns0:c>
      <ns0:c r="F46" s="77" t="n">
        <ns0:v>-0.3983237104043994</ns0:v>
      </ns0:c>
      <ns0:c r="G46" s="78" t="n">
        <ns0:v>-0.05580040111775269</ns0:v>
      </ns0:c>
      <ns0:c r="H46" s="78" t="n">
        <ns0:v>-0.1201001259376492</ns0:v>
      </ns0:c>
      <ns0:c r="I46" s="78" t="n">
        <ns0:v>-0.1249651324011043</ns0:v>
      </ns0:c>
      <ns0:c r="J46" s="78" t="n">
        <ns0:v>0.03797583171718973</ns0:v>
      </ns0:c>
      <ns0:c r="K46" s="78" t="n">
        <ns0:v>-0.01433854253574266</ns0:v>
      </ns0:c>
      <ns0:c r="L46" s="78" t="n">
        <ns0:v>-0.09714967803291771</ns0:v>
      </ns0:c>
      <ns0:c r="M46" s="78" t="n">
        <ns0:v>-0.0262116386986691</ns0:v>
      </ns0:c>
    </ns0:row>
    <ns0:row r="47" ht="30" customHeight="1">
      <ns0:c r="A47" s="73" t="inlineStr">
        <ns0:is>
          <ns0:t>میوه</ns0:t>
        </ns0:is>
      </ns0:c>
      <ns0:c r="B47" s="78" t="n">
        <ns0:v>-0.1585991195502148</ns0:v>
      </ns0:c>
      <ns0:c r="C47" s="78" t="n">
        <ns0:v>-0.0009003568654404852</ns0:v>
      </ns0:c>
      <ns0:c r="D47" s="78" t="n">
        <ns0:v>0.006940269920581763</ns0:v>
      </ns0:c>
      <ns0:c r="E47" s="78" t="n">
        <ns0:v>0.05250639483044221</ns0:v>
      </ns0:c>
      <ns0:c r="F47" s="78" t="n">
        <ns0:v>-0.08256339879774585</ns0:v>
      </ns0:c>
      <ns0:c r="G47" s="77" t="n">
        <ns0:v>-1.024139627131193</ns0:v>
      </ns0:c>
      <ns0:c r="H47" s="78" t="n">
        <ns0:v>0.1097077977257467</ns0:v>
      </ns0:c>
      <ns0:c r="I47" s="78" t="n">
        <ns0:v>-0.03939977872348156</ns0:v>
      </ns0:c>
      <ns0:c r="J47" s="78" t="n">
        <ns0:v>-0.1964299593321786</ns0:v>
      </ns0:c>
      <ns0:c r="K47" s="78" t="n">
        <ns0:v>0.0593850572559272</ns0:v>
      </ns0:c>
      <ns0:c r="L47" s="78" t="n">
        <ns0:v>-0.02801075305341807</ns0:v>
      </ns0:c>
      <ns0:c r="M47" s="78" t="n">
        <ns0:v>0.03111677823262221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-0.01050341798667087</ns0:v>
      </ns0:c>
      <ns0:c r="C48" s="78" t="n">
        <ns0:v>-0.1253426315671698</ns0:v>
      </ns0:c>
      <ns0:c r="D48" s="78" t="n">
        <ns0:v>-0.06441977656464005</ns0:v>
      </ns0:c>
      <ns0:c r="E48" s="78" t="n">
        <ns0:v>-0.1506336126758365</ns0:v>
      </ns0:c>
      <ns0:c r="F48" s="78" t="n">
        <ns0:v>-0.005055423808259911</ns0:v>
      </ns0:c>
      <ns0:c r="G48" s="78" t="n">
        <ns0:v>0.0593688041272474</ns0:v>
      </ns0:c>
      <ns0:c r="H48" s="77" t="n">
        <ns0:v>-0.3632889910829978</ns0:v>
      </ns0:c>
      <ns0:c r="I48" s="78" t="n">
        <ns0:v>0.005416179982939327</ns0:v>
      </ns0:c>
      <ns0:c r="J48" s="78" t="n">
        <ns0:v>0.01582915197254802</ns0:v>
      </ns0:c>
      <ns0:c r="K48" s="78" t="n">
        <ns0:v>-0.07444158409427933</ns0:v>
      </ns0:c>
      <ns0:c r="L48" s="78" t="n">
        <ns0:v>0.0704484560057837</ns0:v>
      </ns0:c>
      <ns0:c r="M48" s="78" t="n">
        <ns0:v>-0.0274463831839294</ns0:v>
      </ns0:c>
    </ns0:row>
    <ns0:row r="49" ht="30" customHeight="1">
      <ns0:c r="A49" s="73" t="inlineStr">
        <ns0:is>
          <ns0:t>حبوبات</ns0:t>
        </ns0:is>
      </ns0:c>
      <ns0:c r="B49" s="78" t="n">
        <ns0:v>-0.07190706267493736</ns0:v>
      </ns0:c>
      <ns0:c r="C49" s="78" t="n">
        <ns0:v>0.002288987860353885</ns0:v>
      </ns0:c>
      <ns0:c r="D49" s="78" t="n">
        <ns0:v>-0.004470880944863947</ns0:v>
      </ns0:c>
      <ns0:c r="E49" s="78" t="n">
        <ns0:v>0.2029791794390211</ns0:v>
      </ns0:c>
      <ns0:c r="F49" s="78" t="n">
        <ns0:v>-0.1045431626637562</ns0:v>
      </ns0:c>
      <ns0:c r="G49" s="78" t="n">
        <ns0:v>-0.06116995250830604</ns0:v>
      </ns0:c>
      <ns0:c r="H49" s="78" t="n">
        <ns0:v>-0.1312368968931174</ns0:v>
      </ns0:c>
      <ns0:c r="I49" s="77" t="n">
        <ns0:v>-0.7269244337796641</ns0:v>
      </ns0:c>
      <ns0:c r="J49" s="78" t="n">
        <ns0:v>-0.104781798801314</ns0:v>
      </ns0:c>
      <ns0:c r="K49" s="78" t="n">
        <ns0:v>-0.1588761300557777</ns0:v>
      </ns0:c>
      <ns0:c r="L49" s="78" t="n">
        <ns0:v>0.01669677026403073</ns0:v>
      </ns0:c>
      <ns0:c r="M49" s="78" t="n">
        <ns0:v>-0.004507816320610643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-0.1150586871976781</ns0:v>
      </ns0:c>
      <ns0:c r="C50" s="78" t="n">
        <ns0:v>0.0004277151643411572</ns0:v>
      </ns0:c>
      <ns0:c r="D50" s="78" t="n">
        <ns0:v>-0.2505442336830062</ns0:v>
      </ns0:c>
      <ns0:c r="E50" s="78" t="n">
        <ns0:v>0.1770008035967365</ns0:v>
      </ns0:c>
      <ns0:c r="F50" s="78" t="n">
        <ns0:v>0.0182829803246278</ns0:v>
      </ns0:c>
      <ns0:c r="G50" s="78" t="n">
        <ns0:v>-0.1890965296109663</ns0:v>
      </ns0:c>
      <ns0:c r="H50" s="78" t="n">
        <ns0:v>-0.07574422091885864</ns0:v>
      </ns0:c>
      <ns0:c r="I50" s="78" t="n">
        <ns0:v>-0.1108237677161689</ns0:v>
      </ns0:c>
      <ns0:c r="J50" s="77" t="n">
        <ns0:v>-0.980990457890397</ns0:v>
      </ns0:c>
      <ns0:c r="K50" s="78" t="n">
        <ns0:v>-0.07518072250140852</ns0:v>
      </ns0:c>
      <ns0:c r="L50" s="78" t="n">
        <ns0:v>-0.1447611915757062</ns0:v>
      </ns0:c>
      <ns0:c r="M50" s="78" t="n">
        <ns0:v>0.06628613029074489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-0.1112150106140543</ns0:v>
      </ns0:c>
      <ns0:c r="C51" s="78" t="n">
        <ns0:v>-0.07204856545636544</ns0:v>
      </ns0:c>
      <ns0:c r="D51" s="78" t="n">
        <ns0:v>0.01532932450734031</ns0:v>
      </ns0:c>
      <ns0:c r="E51" s="78" t="n">
        <ns0:v>-0.1090401346870572</ns0:v>
      </ns0:c>
      <ns0:c r="F51" s="78" t="n">
        <ns0:v>-0.003386912558517449</ns0:v>
      </ns0:c>
      <ns0:c r="G51" s="78" t="n">
        <ns0:v>0.05283413031492448</ns0:v>
      </ns0:c>
      <ns0:c r="H51" s="78" t="n">
        <ns0:v>-0.1082055536577367</ns0:v>
      </ns0:c>
      <ns0:c r="I51" s="78" t="n">
        <ns0:v>-0.0368697164815638</ns0:v>
      </ns0:c>
      <ns0:c r="J51" s="78" t="n">
        <ns0:v>-0.03849840764821485</ns0:v>
      </ns0:c>
      <ns0:c r="K51" s="77" t="n">
        <ns0:v>-0.5158285075793865</ns0:v>
      </ns0:c>
      <ns0:c r="L51" s="78" t="n">
        <ns0:v>-0.06552133571644782</ns0:v>
      </ns0:c>
      <ns0:c r="M51" s="78" t="n">
        <ns0:v>-0.005692412293614475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-0.2635912052498162</ns0:v>
      </ns0:c>
      <ns0:c r="C52" s="78" t="n">
        <ns0:v>0.1730460819022649</ns0:v>
      </ns0:c>
      <ns0:c r="D52" s="78" t="n">
        <ns0:v>-0.1032953122736256</ns0:v>
      </ns0:c>
      <ns0:c r="E52" s="78" t="n">
        <ns0:v>0.2669988824253224</ns0:v>
      </ns0:c>
      <ns0:c r="F52" s="78" t="n">
        <ns0:v>-0.1099711031765054</ns0:v>
      </ns0:c>
      <ns0:c r="G52" s="78" t="n">
        <ns0:v>-0.03148988828478121</ns0:v>
      </ns0:c>
      <ns0:c r="H52" s="78" t="n">
        <ns0:v>0.1463969194947247</ns0:v>
      </ns0:c>
      <ns0:c r="I52" s="78" t="n">
        <ns0:v>0.06168019643407509</ns0:v>
      </ns0:c>
      <ns0:c r="J52" s="78" t="n">
        <ns0:v>-0.1107696867318825</ns0:v>
      </ns0:c>
      <ns0:c r="K52" s="78" t="n">
        <ns0:v>-0.1950399338427979</ns0:v>
      </ns0:c>
      <ns0:c r="L52" s="77" t="n">
        <ns0:v>-0.8295924177856734</ns0:v>
      </ns0:c>
      <ns0:c r="M52" s="78" t="n">
        <ns0:v>0.05964027168097769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0.2562490318748387</ns0:v>
      </ns0:c>
      <ns0:c r="C53" s="78" t="n">
        <ns0:v>-0.1023404991298331</ns0:v>
      </ns0:c>
      <ns0:c r="D53" s="78" t="n">
        <ns0:v>-0.1562457758001055</ns0:v>
      </ns0:c>
      <ns0:c r="E53" s="78" t="n">
        <ns0:v>-0.3347791425887177</ns0:v>
      </ns0:c>
      <ns0:c r="F53" s="78" t="n">
        <ns0:v>-0.04795502373466532</ns0:v>
      </ns0:c>
      <ns0:c r="G53" s="78" t="n">
        <ns0:v>0.07204470360396471</ns0:v>
      </ns0:c>
      <ns0:c r="H53" s="78" t="n">
        <ns0:v>-0.09123642445684871</ns0:v>
      </ns0:c>
      <ns0:c r="I53" s="78" t="n">
        <ns0:v>-0.03105639908534932</ns0:v>
      </ns0:c>
      <ns0:c r="J53" s="78" t="n">
        <ns0:v>0.2005689197319781</ns0:v>
      </ns0:c>
      <ns0:c r="K53" s="78" t="n">
        <ns0:v>-0.03462923332356473</ns0:v>
      </ns0:c>
      <ns0:c r="L53" s="78" t="n">
        <ns0:v>0.03076642421125626</ns0:v>
      </ns0:c>
      <ns0:c r="M53" s="77" t="n">
        <ns0:v>-0.3850440390860012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سال 1396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-1.0774</ns0:v>
      </ns0:c>
      <ns0:c r="C6" s="69" t="n">
        <ns0:v>-1.0754</ns0:v>
      </ns0:c>
      <ns0:c r="D6" s="70" t="n">
        <ns0:v>1.5724</ns0:v>
      </ns0:c>
      <ns0:c r="E6" s="69" t="n">
        <ns0:v>1.6195</ns0:v>
      </ns0:c>
    </ns0:row>
    <ns0:row r="7" ht="23" customHeight="1">
      <ns0:c r="A7" s="28" t="inlineStr">
        <ns0:is>
          <ns0:t>نان و غلات</ns0:t>
        </ns0:is>
      </ns0:c>
      <ns0:c r="B7" s="68" t="n">
        <ns0:v>-0.7188</ns0:v>
      </ns0:c>
      <ns0:c r="C7" s="69" t="n">
        <ns0:v>-0.6892</ns0:v>
      </ns0:c>
      <ns0:c r="D7" s="70" t="n">
        <ns0:v>0.5722</ns0:v>
      </ns0:c>
      <ns0:c r="E7" s="69" t="n">
        <ns0:v>0.4814</ns0:v>
      </ns0:c>
    </ns0:row>
    <ns0:row r="8" ht="23" customHeight="1">
      <ns0:c r="A8" s="28" t="inlineStr">
        <ns0:is>
          <ns0:t>گوشت</ns0:t>
        </ns0:is>
      </ns0:c>
      <ns0:c r="B8" s="68" t="n">
        <ns0:v>-0.9136</ns0:v>
      </ns0:c>
      <ns0:c r="C8" s="69" t="n">
        <ns0:v>-0.9244</ns0:v>
      </ns0:c>
      <ns0:c r="D8" s="70" t="n">
        <ns0:v>1.2288</ns0:v>
      </ns0:c>
      <ns0:c r="E8" s="69" t="n">
        <ns0:v>1.2492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-0.7897</ns0:v>
      </ns0:c>
      <ns0:c r="C9" s="69" t="n">
        <ns0:v>-0.7828000000000001</ns0:v>
      </ns0:c>
      <ns0:c r="D9" s="70" t="n">
        <ns0:v>0.8579</ns0:v>
      </ns0:c>
      <ns0:c r="E9" s="69" t="n">
        <ns0:v>0.8308</ns0:v>
      </ns0:c>
    </ns0:row>
    <ns0:row r="10" ht="23" customHeight="1">
      <ns0:c r="A10" s="28" t="inlineStr">
        <ns0:is>
          <ns0:t>روغن و چربی</ns0:t>
        </ns0:is>
      </ns0:c>
      <ns0:c r="B10" s="68" t="n">
        <ns0:v>-0.385</ns0:v>
      </ns0:c>
      <ns0:c r="C10" s="69" t="n">
        <ns0:v>-0.3792</ns0:v>
      </ns0:c>
      <ns0:c r="D10" s="70" t="n">
        <ns0:v>0.6493</ns0:v>
      </ns0:c>
      <ns0:c r="E10" s="69" t="n">
        <ns0:v>1.0118</ns0:v>
      </ns0:c>
    </ns0:row>
    <ns0:row r="11" ht="23" customHeight="1">
      <ns0:c r="A11" s="28" t="inlineStr">
        <ns0:is>
          <ns0:t>میوه</ns0:t>
        </ns0:is>
      </ns0:c>
      <ns0:c r="B11" s="68" t="n">
        <ns0:v>-1.0188</ns0:v>
      </ns0:c>
      <ns0:c r="C11" s="69" t="n">
        <ns0:v>-1.0137</ns0:v>
      </ns0:c>
      <ns0:c r="D11" s="70" t="n">
        <ns0:v>1.2018</ns0:v>
      </ns0:c>
      <ns0:c r="E11" s="69" t="n">
        <ns0:v>1.242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-0.4153</ns0:v>
      </ns0:c>
      <ns0:c r="C12" s="69" t="n">
        <ns0:v>-0.4024</ns0:v>
      </ns0:c>
      <ns0:c r="D12" s="70" t="n">
        <ns0:v>0.7374000000000001</ns0:v>
      </ns0:c>
      <ns0:c r="E12" s="69" t="n">
        <ns0:v>0.671</ns0:v>
      </ns0:c>
    </ns0:row>
    <ns0:row r="13" ht="23" customHeight="1">
      <ns0:c r="A13" s="28" t="inlineStr">
        <ns0:is>
          <ns0:t>حبوبات</ns0:t>
        </ns0:is>
      </ns0:c>
      <ns0:c r="B13" s="68" t="n">
        <ns0:v>-0.7045</ns0:v>
      </ns0:c>
      <ns0:c r="C13" s="69" t="n">
        <ns0:v>-0.7284</ns0:v>
      </ns0:c>
      <ns0:c r="D13" s="70" t="n">
        <ns0:v>0.9392</ns0:v>
      </ns0:c>
      <ns0:c r="E13" s="69" t="n">
        <ns0:v>1.1841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-0.9641999999999999</ns0:v>
      </ns0:c>
      <ns0:c r="C14" s="69" t="n">
        <ns0:v>-0.971</ns0:v>
      </ns0:c>
      <ns0:c r="D14" s="70" t="n">
        <ns0:v>2.0386</ns0:v>
      </ns0:c>
      <ns0:c r="E14" s="69" t="n">
        <ns0:v>1.5255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-0.5184</ns0:v>
      </ns0:c>
      <ns0:c r="C15" s="69" t="n">
        <ns0:v>-0.5168</ns0:v>
      </ns0:c>
      <ns0:c r="D15" s="70" t="n">
        <ns0:v>1.0015</ns0:v>
      </ns0:c>
      <ns0:c r="E15" s="69" t="n">
        <ns0:v>0.9885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-0.8095</ns0:v>
      </ns0:c>
      <ns0:c r="C16" s="69" t="n">
        <ns0:v>-0.819</ns0:v>
      </ns0:c>
      <ns0:c r="D16" s="70" t="n">
        <ns0:v>0.8052</ns0:v>
      </ns0:c>
      <ns0:c r="E16" s="69" t="n">
        <ns0:v>0.9951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-0.3633</ns0:v>
      </ns0:c>
      <ns0:c r="C17" s="69" t="n">
        <ns0:v>-0.3616</ns0:v>
      </ns0:c>
      <ns0:c r="D17" s="70" t="n">
        <ns0:v>0.7907999999999999</ns0:v>
      </ns0:c>
      <ns0:c r="E17" s="69" t="n">
        <ns0:v>0.6117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-1.077438329750935</ns0:v>
      </ns0:c>
      <ns0:c r="C26" s="75" t="n">
        <ns0:v>-0.002409555380977683</ns0:v>
      </ns0:c>
      <ns0:c r="D26" s="75" t="n">
        <ns0:v>-0.09766553404434036</ns0:v>
      </ns0:c>
      <ns0:c r="E26" s="75" t="n">
        <ns0:v>0.02142478315616407</ns0:v>
      </ns0:c>
      <ns0:c r="F26" s="75" t="n">
        <ns0:v>-0.03354059759144993</ns0:v>
      </ns0:c>
      <ns0:c r="G26" s="75" t="n">
        <ns0:v>-0.07655567815776976</ns0:v>
      </ns0:c>
      <ns0:c r="H26" s="75" t="n">
        <ns0:v>-0.08866228446178941</ns0:v>
      </ns0:c>
      <ns0:c r="I26" s="75" t="n">
        <ns0:v>-0.03683102071012572</ns0:v>
      </ns0:c>
      <ns0:c r="J26" s="75" t="n">
        <ns0:v>-0.01882824600943045</ns0:v>
      </ns0:c>
      <ns0:c r="K26" s="75" t="n">
        <ns0:v>-0.08778662515720032</ns0:v>
      </ns0:c>
      <ns0:c r="L26" s="75" t="n">
        <ns0:v>-0.1169621561620858</ns0:v>
      </ns0:c>
      <ns0:c r="M26" s="75" t="n">
        <ns0:v>0.04548682332147089</ns0:v>
      </ns0:c>
    </ns0:row>
    <ns0:row r="27" ht="30" customHeight="1">
      <ns0:c r="A27" s="73" t="inlineStr">
        <ns0:is>
          <ns0:t>نان و غلات</ns0:t>
        </ns0:is>
      </ns0:c>
      <ns0:c r="B27" s="75" t="n">
        <ns0:v>0.1043567421592303</ns0:v>
      </ns0:c>
      <ns0:c r="C27" s="74" t="n">
        <ns0:v>-0.7188138145453848</ns0:v>
      </ns0:c>
      <ns0:c r="D27" s="75" t="n">
        <ns0:v>0.1693944556970228</ns0:v>
      </ns0:c>
      <ns0:c r="E27" s="75" t="n">
        <ns0:v>-0.1166614845105828</ns0:v>
      </ns0:c>
      <ns0:c r="F27" s="75" t="n">
        <ns0:v>-0.005665818999367605</ns0:v>
      </ns0:c>
      <ns0:c r="G27" s="75" t="n">
        <ns0:v>0.02443457509313728</ns0:v>
      </ns0:c>
      <ns0:c r="H27" s="75" t="n">
        <ns0:v>-0.08676664325366466</ns0:v>
      </ns0:c>
      <ns0:c r="I27" s="75" t="n">
        <ns0:v>0.02827406446456851</ns0:v>
      </ns0:c>
      <ns0:c r="J27" s="75" t="n">
        <ns0:v>0.02715900525660613</ns0:v>
      </ns0:c>
      <ns0:c r="K27" s="75" t="n">
        <ns0:v>-0.007469346360900337</ns0:v>
      </ns0:c>
      <ns0:c r="L27" s="75" t="n">
        <ns0:v>0.06798823890244243</ns0:v>
      </ns0:c>
      <ns0:c r="M27" s="75" t="n">
        <ns0:v>-0.03964127441041836</ns0:v>
      </ns0:c>
    </ns0:row>
    <ns0:row r="28" ht="30" customHeight="1">
      <ns0:c r="A28" s="73" t="inlineStr">
        <ns0:is>
          <ns0:t>گوشت</ns0:t>
        </ns0:is>
      </ns0:c>
      <ns0:c r="B28" s="75" t="n">
        <ns0:v>0.001722264246747615</ns0:v>
      </ns0:c>
      <ns0:c r="C28" s="75" t="n">
        <ns0:v>0.02005347350362404</ns0:v>
      </ns0:c>
      <ns0:c r="D28" s="74" t="n">
        <ns0:v>-0.9135541329381125</ns0:v>
      </ns0:c>
      <ns0:c r="E28" s="75" t="n">
        <ns0:v>-0.01193168306949855</ns0:v>
      </ns0:c>
      <ns0:c r="F28" s="75" t="n">
        <ns0:v>-0.08246770853264718</ns0:v>
      </ns0:c>
      <ns0:c r="G28" s="75" t="n">
        <ns0:v>-0.004429097016130094</ns0:v>
      </ns0:c>
      <ns0:c r="H28" s="75" t="n">
        <ns0:v>-0.08837856171465072</ns0:v>
      </ns0:c>
      <ns0:c r="I28" s="75" t="n">
        <ns0:v>-0.02103522027821066</ns0:v>
      </ns0:c>
      <ns0:c r="J28" s="75" t="n">
        <ns0:v>-0.04127105377828429</ns0:v>
      </ns0:c>
      <ns0:c r="K28" s="75" t="n">
        <ns0:v>0.00288759132430392</ns0:v>
      </ns0:c>
      <ns0:c r="L28" s="75" t="n">
        <ns0:v>-0.04607133964322473</ns0:v>
      </ns0:c>
      <ns0:c r="M28" s="75" t="n">
        <ns0:v>-0.04511399738451913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0.1137680537021685</ns0:v>
      </ns0:c>
      <ns0:c r="C29" s="75" t="n">
        <ns0:v>-0.1892967717914121</ns0:v>
      </ns0:c>
      <ns0:c r="D29" s="75" t="n">
        <ns0:v>0.05882261243205361</ns0:v>
      </ns0:c>
      <ns0:c r="E29" s="74" t="n">
        <ns0:v>-0.7896502092888572</ns0:v>
      </ns0:c>
      <ns0:c r="F29" s="75" t="n">
        <ns0:v>0.0007045272339862551</ns0:v>
      </ns0:c>
      <ns0:c r="G29" s="75" t="n">
        <ns0:v>0.03599308127267961</ns0:v>
      </ns0:c>
      <ns0:c r="H29" s="75" t="n">
        <ns0:v>-0.1644772787753634</ns0:v>
      </ns0:c>
      <ns0:c r="I29" s="75" t="n">
        <ns0:v>0.04680211063835881</ns0:v>
      </ns0:c>
      <ns0:c r="J29" s="75" t="n">
        <ns0:v>0.09493112384745241</ns0:v>
      </ns0:c>
      <ns0:c r="K29" s="75" t="n">
        <ns0:v>-0.05004675285865016</ns0:v>
      </ns0:c>
      <ns0:c r="L29" s="75" t="n">
        <ns0:v>0.1157762880664428</ns0:v>
      </ns0:c>
      <ns0:c r="M29" s="75" t="n">
        <ns0:v>-0.1269801963762579</ns0:v>
      </ns0:c>
    </ns0:row>
    <ns0:row r="30" ht="30" customHeight="1">
      <ns0:c r="A30" s="73" t="inlineStr">
        <ns0:is>
          <ns0:t>روغن و چربی</ns0:t>
        </ns0:is>
      </ns0:c>
      <ns0:c r="B30" s="75" t="n">
        <ns0:v>0.02863053342364226</ns0:v>
      </ns0:c>
      <ns0:c r="C30" s="75" t="n">
        <ns0:v>-0.01662640263334672</ns0:v>
      </ns0:c>
      <ns0:c r="D30" s="75" t="n">
        <ns0:v>-0.196375875657698</ns0:v>
      </ns0:c>
      <ns0:c r="E30" s="75" t="n">
        <ns0:v>0.1383985417431191</ns0:v>
      </ns0:c>
      <ns0:c r="F30" s="74" t="n">
        <ns0:v>-0.385015207260872</ns0:v>
      </ns0:c>
      <ns0:c r="G30" s="75" t="n">
        <ns0:v>-0.04107190843430598</ns0:v>
      </ns0:c>
      <ns0:c r="H30" s="75" t="n">
        <ns0:v>-0.06625559895691711</ns0:v>
      </ns0:c>
      <ns0:c r="I30" s="75" t="n">
        <ns0:v>-0.1056966505988612</ns0:v>
      </ns0:c>
      <ns0:c r="J30" s="75" t="n">
        <ns0:v>0.07204898104969444</ns0:v>
      </ns0:c>
      <ns0:c r="K30" s="75" t="n">
        <ns0:v>-0.008206756196632737</ns0:v>
      </ns0:c>
      <ns0:c r="L30" s="75" t="n">
        <ns0:v>-0.08544315444214159</ns0:v>
      </ns0:c>
      <ns0:c r="M30" s="75" t="n">
        <ns0:v>-0.009784379598000782</ns0:v>
      </ns0:c>
    </ns0:row>
    <ns0:row r="31" ht="30" customHeight="1">
      <ns0:c r="A31" s="73" t="inlineStr">
        <ns0:is>
          <ns0:t>میوه</ns0:t>
        </ns0:is>
      </ns0:c>
      <ns0:c r="B31" s="75" t="n">
        <ns0:v>-0.1595113862752863</ns0:v>
      </ns0:c>
      <ns0:c r="C31" s="75" t="n">
        <ns0:v>0.01353213067098583</ns0:v>
      </ns0:c>
      <ns0:c r="D31" s="75" t="n">
        <ns0:v>0.007803711386769339</ns0:v>
      </ns0:c>
      <ns0:c r="E31" s="75" t="n">
        <ns0:v>0.0609181461389194</ns0:v>
      </ns0:c>
      <ns0:c r="F31" s="75" t="n">
        <ns0:v>-0.07658834588039641</ns0:v>
      </ns0:c>
      <ns0:c r="G31" s="74" t="n">
        <ns0:v>-1.018843322357794</ns0:v>
      </ns0:c>
      <ns0:c r="H31" s="75" t="n">
        <ns0:v>0.121106904454949</ns0:v>
      </ns0:c>
      <ns0:c r="I31" s="75" t="n">
        <ns0:v>-0.03526131883436154</ns0:v>
      </ns0:c>
      <ns0:c r="J31" s="75" t="n">
        <ns0:v>-0.1978893131527645</ns0:v>
      </ns0:c>
      <ns0:c r="K31" s="75" t="n">
        <ns0:v>0.06640770399553324</ns0:v>
      </ns0:c>
      <ns0:c r="L31" s="75" t="n">
        <ns0:v>-0.02873553380576021</ns0:v>
      </ns0:c>
      <ns0:c r="M31" s="75" t="n">
        <ns0:v>0.03660949414031077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-0.01027607692490293</ns0:v>
      </ns0:c>
      <ns0:c r="C32" s="75" t="n">
        <ns0:v>-0.1328322198212643</ns0:v>
      </ns0:c>
      <ns0:c r="D32" s="75" t="n">
        <ns0:v>-0.07178501520783331</ns0:v>
      </ns0:c>
      <ns0:c r="E32" s="75" t="n">
        <ns0:v>-0.1512553213069023</ns0:v>
      </ns0:c>
      <ns0:c r="F32" s="75" t="n">
        <ns0:v>-0.004334991082004486</ns0:v>
      </ns0:c>
      <ns0:c r="G32" s="75" t="n">
        <ns0:v>0.05364306276531213</ns0:v>
      </ns0:c>
      <ns0:c r="H32" s="74" t="n">
        <ns0:v>-0.4153321273401251</ns0:v>
      </ns0:c>
      <ns0:c r="I32" s="75" t="n">
        <ns0:v>0.001253105820501855</ns0:v>
      </ns0:c>
      <ns0:c r="J32" s="75" t="n">
        <ns0:v>0.01676818279750255</ns0:v>
      </ns0:c>
      <ns0:c r="K32" s="75" t="n">
        <ns0:v>-0.0772813709827089</ns0:v>
      </ns0:c>
      <ns0:c r="L32" s="75" t="n">
        <ns0:v>0.06488753035400446</ns0:v>
      </ns0:c>
      <ns0:c r="M32" s="75" t="n">
        <ns0:v>-0.03094458896438969</ns0:v>
      </ns0:c>
    </ns0:row>
    <ns0:row r="33" ht="30" customHeight="1">
      <ns0:c r="A33" s="73" t="inlineStr">
        <ns0:is>
          <ns0:t>حبوبات</ns0:t>
        </ns0:is>
      </ns0:c>
      <ns0:c r="B33" s="75" t="n">
        <ns0:v>-0.05855785539785777</ns0:v>
      </ns0:c>
      <ns0:c r="C33" s="75" t="n">
        <ns0:v>0.03740564985950673</ns0:v>
      </ns0:c>
      <ns0:c r="D33" s="75" t="n">
        <ns0:v>0.04793401168552152</ns0:v>
      </ns0:c>
      <ns0:c r="E33" s="75" t="n">
        <ns0:v>0.241559470614787</ns0:v>
      </ns0:c>
      <ns0:c r="F33" s="75" t="n">
        <ns0:v>-0.09200608063609521</ns0:v>
      </ns0:c>
      <ns0:c r="G33" s="75" t="n">
        <ns0:v>-0.04893652409274984</ns0:v>
      </ns0:c>
      <ns0:c r="H33" s="75" t="n">
        <ns0:v>-0.1059196616573549</ns0:v>
      </ns0:c>
      <ns0:c r="I33" s="74" t="n">
        <ns0:v>-0.7045375725368227</ns0:v>
      </ns0:c>
      <ns0:c r="J33" s="75" t="n">
        <ns0:v>-0.1157121469118892</ns0:v>
      </ns0:c>
      <ns0:c r="K33" s="75" t="n">
        <ns0:v>-0.1495620610893826</ns0:v>
      </ns0:c>
      <ns0:c r="L33" s="75" t="n">
        <ns0:v>0.03270417737361324</ns0:v>
      </ns0:c>
      <ns0:c r="M33" s="75" t="n">
        <ns0:v>0.003970095336057067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-0.1413099878837699</ns0:v>
      </ns0:c>
      <ns0:c r="C34" s="75" t="n">
        <ns0:v>-0.08277070622283419</ns0:v>
      </ns0:c>
      <ns0:c r="D34" s="75" t="n">
        <ns0:v>-0.3552402386949898</ns0:v>
      </ns0:c>
      <ns0:c r="E34" s="75" t="n">
        <ns0:v>0.09150459391379527</ns0:v>
      </ns0:c>
      <ns0:c r="F34" s="75" t="n">
        <ns0:v>0.006407404960138251</ns0:v>
      </ns0:c>
      <ns0:c r="G34" s="75" t="n">
        <ns0:v>-0.2099740903996781</ns0:v>
      </ns0:c>
      <ns0:c r="H34" s="75" t="n">
        <ns0:v>-0.1218258793761417</ns0:v>
      </ns0:c>
      <ns0:c r="I34" s="75" t="n">
        <ns0:v>-0.1488420079102454</ns0:v>
      </ns0:c>
      <ns0:c r="J34" s="74" t="n">
        <ns0:v>-0.9642288558614588</ns0:v>
      </ns0:c>
      <ns0:c r="K34" s="75" t="n">
        <ns0:v>-0.1024535220400673</ns0:v>
      </ns0:c>
      <ns0:c r="L34" s="75" t="n">
        <ns0:v>-0.1689253123687973</ns0:v>
      </ns0:c>
      <ns0:c r="M34" s="75" t="n">
        <ns0:v>0.06662269294711198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-0.1199974217601453</ns0:v>
      </ns0:c>
      <ns0:c r="C35" s="75" t="n">
        <ns0:v>-0.07060773383279248</ns0:v>
      </ns0:c>
      <ns0:c r="D35" s="75" t="n">
        <ns0:v>0.01876488852115684</ns0:v>
      </ns0:c>
      <ns0:c r="E35" s="75" t="n">
        <ns0:v>-0.1081695817159433</ns0:v>
      </ns0:c>
      <ns0:c r="F35" s="75" t="n">
        <ns0:v>-0.01707911601113382</ns0:v>
      </ns0:c>
      <ns0:c r="G35" s="75" t="n">
        <ns0:v>0.05028747264621524</ns0:v>
      </ns0:c>
      <ns0:c r="H35" s="75" t="n">
        <ns0:v>-0.1152859289994261</ns0:v>
      </ns0:c>
      <ns0:c r="I35" s="75" t="n">
        <ns0:v>-0.04086188693171356</ns0:v>
      </ns0:c>
      <ns0:c r="J35" s="75" t="n">
        <ns0:v>-0.02675125662293058</ns0:v>
      </ns0:c>
      <ns0:c r="K35" s="74" t="n">
        <ns0:v>-0.5183728691084888</ns0:v>
      </ns0:c>
      <ns0:c r="L35" s="75" t="n">
        <ns0:v>-0.06652886736979269</ns0:v>
      </ns0:c>
      <ns0:c r="M35" s="75" t="n">
        <ns0:v>-0.006240914321240782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-0.2497616896977093</ns0:v>
      </ns0:c>
      <ns0:c r="C36" s="75" t="n">
        <ns0:v>0.2005227170792603</ns0:v>
      </ns0:c>
      <ns0:c r="D36" s="75" t="n">
        <ns0:v>-0.07286213478764307</ns0:v>
      </ns0:c>
      <ns0:c r="E36" s="75" t="n">
        <ns0:v>0.3069885664291544</ns0:v>
      </ns0:c>
      <ns0:c r="F36" s="75" t="n">
        <ns0:v>-0.1054833427945627</ns0:v>
      </ns0:c>
      <ns0:c r="G36" s="75" t="n">
        <ns0:v>-0.02403464090307091</ns0:v>
      </ns0:c>
      <ns0:c r="H36" s="75" t="n">
        <ns0:v>0.1807901421930991</ns0:v>
      </ns0:c>
      <ns0:c r="I36" s="75" t="n">
        <ns0:v>0.0768889095125173</ns0:v>
      </ns0:c>
      <ns0:c r="J36" s="75" t="n">
        <ns0:v>-0.120047754737752</ns0:v>
      </ns0:c>
      <ns0:c r="K36" s="75" t="n">
        <ns0:v>-0.1851978908453879</ns0:v>
      </ns0:c>
      <ns0:c r="L36" s="74" t="n">
        <ns0:v>-0.809502337646282</ns0:v>
      </ns0:c>
      <ns0:c r="M36" s="75" t="n">
        <ns0:v>0.0671997049922473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0.2534511429846237</ns0:v>
      </ns0:c>
      <ns0:c r="C37" s="75" t="n">
        <ns0:v>-0.1483870935470916</ns0:v>
      </ns0:c>
      <ns0:c r="D37" s="75" t="n">
        <ns0:v>-0.193900856925562</ns0:v>
      </ns0:c>
      <ns0:c r="E37" s="75" t="n">
        <ns0:v>-0.3836457075244482</ns0:v>
      </ns0:c>
      <ns0:c r="F37" s="75" t="n">
        <ns0:v>-0.05061748315004747</ns0:v>
      </ns0:c>
      <ns0:c r="G37" s="75" t="n">
        <ns0:v>0.06843969491759554</ns0:v>
      </ns0:c>
      <ns0:c r="H37" s="75" t="n">
        <ns0:v>-0.1169672040711092</ns0:v>
      </ns0:c>
      <ns0:c r="I37" s="75" t="n">
        <ns0:v>-0.03952866205398043</ns0:v>
      </ns0:c>
      <ns0:c r="J37" s="75" t="n">
        <ns0:v>0.2150489067559052</ns0:v>
      </ns0:c>
      <ns0:c r="K37" s="75" t="n">
        <ns0:v>-0.04809845248911539</ns0:v>
      </ns0:c>
      <ns0:c r="L37" s="75" t="n">
        <ns0:v>0.02571770282781357</ns0:v>
      </ns0:c>
      <ns0:c r="M37" s="74" t="n">
        <ns0:v>-0.3633312681817367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-1.075361441976617</ns0:v>
      </ns0:c>
      <ns0:c r="C42" s="78" t="n">
        <ns0:v>-0.01844185819577605</ns0:v>
      </ns0:c>
      <ns0:c r="D42" s="78" t="n">
        <ns0:v>-0.1106480412928487</ns0:v>
      </ns0:c>
      <ns0:c r="E42" s="78" t="n">
        <ns0:v>0.01471339053012849</ns0:v>
      </ns0:c>
      <ns0:c r="F42" s="78" t="n">
        <ns0:v>-0.02895052183584578</ns0:v>
      </ns0:c>
      <ns0:c r="G42" s="78" t="n">
        <ns0:v>-0.07802156809284215</ns0:v>
      </ns0:c>
      <ns0:c r="H42" s="78" t="n">
        <ns0:v>-0.09797394475615739</ns0:v>
      </ns0:c>
      <ns0:c r="I42" s="78" t="n">
        <ns0:v>-0.03751279156615599</ns0:v>
      </ns0:c>
      <ns0:c r="J42" s="78" t="n">
        <ns0:v>-0.0201652018420647</ns0:v>
      </ns0:c>
      <ns0:c r="K42" s="78" t="n">
        <ns0:v>-0.08742387710631512</ns0:v>
      </ns0:c>
      <ns0:c r="L42" s="78" t="n">
        <ns0:v>-0.1204233575708928</ns0:v>
      </ns0:c>
      <ns0:c r="M42" s="78" t="n">
        <ns0:v>0.04322130278784587</ns0:v>
      </ns0:c>
    </ns0:row>
    <ns0:row r="43" ht="30" customHeight="1">
      <ns0:c r="A43" s="73" t="inlineStr">
        <ns0:is>
          <ns0:t>نان و غلات</ns0:t>
        </ns0:is>
      </ns0:c>
      <ns0:c r="B43" s="78" t="n">
        <ns0:v>0.1011370960977801</ns0:v>
      </ns0:c>
      <ns0:c r="C43" s="77" t="n">
        <ns0:v>-0.6892225382995328</ns0:v>
      </ns0:c>
      <ns0:c r="D43" s="78" t="n">
        <ns0:v>0.186985294326695</ns0:v>
      </ns0:c>
      <ns0:c r="E43" s="78" t="n">
        <ns0:v>-0.1016581906911729</ns0:v>
      </ns0:c>
      <ns0:c r="F43" s="78" t="n">
        <ns0:v>-0.01847932712625976</ns0:v>
      </ns0:c>
      <ns0:c r="G43" s="78" t="n">
        <ns0:v>0.02588828098576405</ns0:v>
      </ns0:c>
      <ns0:c r="H43" s="78" t="n">
        <ns0:v>-0.07401256413267503</ns0:v>
      </ns0:c>
      <ns0:c r="I43" s="78" t="n">
        <ns0:v>0.03178600485814905</ns0:v>
      </ns0:c>
      <ns0:c r="J43" s="78" t="n">
        <ns0:v>0.03761726053463885</ns0:v>
      </ns0:c>
      <ns0:c r="K43" s="78" t="n">
        <ns0:v>-0.003843731010232289</ns0:v>
      </ns0:c>
      <ns0:c r="L43" s="78" t="n">
        <ns0:v>0.07335039742700754</ns0:v>
      </ns0:c>
      <ns0:c r="M43" s="78" t="n">
        <ns0:v>-0.03295195344926938</ns0:v>
      </ns0:c>
    </ns0:row>
    <ns0:row r="44" ht="30" customHeight="1">
      <ns0:c r="A44" s="73" t="inlineStr">
        <ns0:is>
          <ns0:t>گوشت</ns0:t>
        </ns0:is>
      </ns0:c>
      <ns0:c r="B44" s="78" t="n">
        <ns0:v>-0.001355137632266598</ns0:v>
      </ns0:c>
      <ns0:c r="C44" s="78" t="n">
        <ns0:v>0.01589614101411402</ns0:v>
      </ns0:c>
      <ns0:c r="D44" s="77" t="n">
        <ns0:v>-0.9244165307542676</ns0:v>
      </ns0:c>
      <ns0:c r="E44" s="78" t="n">
        <ns0:v>-0.01710959330790322</ns0:v>
      </ns0:c>
      <ns0:c r="F44" s="78" t="n">
        <ns0:v>-0.07243913390732588</ns0:v>
      </ns0:c>
      <ns0:c r="G44" s="78" t="n">
        <ns0:v>-0.003141499394210146</ns0:v>
      </ns0:c>
      <ns0:c r="H44" s="78" t="n">
        <ns0:v>-0.0901386294321835</ns0:v>
      </ns0:c>
      <ns0:c r="I44" s="78" t="n">
        <ns0:v>-0.02119846907198908</ns0:v>
      </ns0:c>
      <ns0:c r="J44" s="78" t="n">
        <ns0:v>-0.04275368168960623</ns0:v>
      </ns0:c>
      <ns0:c r="K44" s="78" t="n">
        <ns0:v>-0.002850186130924102</ns0:v>
      </ns0:c>
      <ns0:c r="L44" s="78" t="n">
        <ns0:v>-0.04419570834460756</ns0:v>
      </ns0:c>
      <ns0:c r="M44" s="78" t="n">
        <ns0:v>-0.04621383998759419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0.1155529821713332</ns0:v>
      </ns0:c>
      <ns0:c r="C45" s="78" t="n">
        <ns0:v>-0.1797344161808779</ns0:v>
      </ns0:c>
      <ns0:c r="D45" s="78" t="n">
        <ns0:v>0.0591060671471688</ns0:v>
      </ns0:c>
      <ns0:c r="E45" s="77" t="n">
        <ns0:v>-0.7828321772737873</ns0:v>
      </ns0:c>
      <ns0:c r="F45" s="78" t="n">
        <ns0:v>-0.01517247608815027</ns0:v>
      </ns0:c>
      <ns0:c r="G45" s="78" t="n">
        <ns0:v>0.03580760274707177</ns0:v>
      </ns0:c>
      <ns0:c r="H45" s="78" t="n">
        <ns0:v>-0.1583736088384596</ns0:v>
      </ns0:c>
      <ns0:c r="I45" s="78" t="n">
        <ns0:v>0.04709459106442485</ns0:v>
      </ns0:c>
      <ns0:c r="J45" s="78" t="n">
        <ns0:v>0.1133552982470523</ns0:v>
      </ns0:c>
      <ns0:c r="K45" s="78" t="n">
        <ns0:v>-0.05473529988594485</ns0:v>
      </ns0:c>
      <ns0:c r="L45" s="78" t="n">
        <ns0:v>0.1148715925392783</ns0:v>
      </ns0:c>
      <ns0:c r="M45" s="78" t="n">
        <ns0:v>-0.1215520093557843</ns0:v>
      </ns0:c>
    </ns0:row>
    <ns0:row r="46" ht="30" customHeight="1">
      <ns0:c r="A46" s="73" t="inlineStr">
        <ns0:is>
          <ns0:t>روغن و چربی</ns0:t>
        </ns0:is>
      </ns0:c>
      <ns0:c r="B46" s="78" t="n">
        <ns0:v>0.02007785660159481</ns0:v>
      </ns0:c>
      <ns0:c r="C46" s="78" t="n">
        <ns0:v>-0.1059197895387664</ns0:v>
      </ns0:c>
      <ns0:c r="D46" s="78" t="n">
        <ns0:v>-0.2358456142030876</ns0:v>
      </ns0:c>
      <ns0:c r="E46" s="78" t="n">
        <ns0:v>0.07239765283988907</ns0:v>
      </ns0:c>
      <ns0:c r="F46" s="77" t="n">
        <ns0:v>-0.3792214458267045</ns0:v>
      </ns0:c>
      <ns0:c r="G46" s="78" t="n">
        <ns0:v>-0.05794795720300626</ns0:v>
      </ns0:c>
      <ns0:c r="H46" s="78" t="n">
        <ns0:v>-0.1230230215276149</ns0:v>
      </ns0:c>
      <ns0:c r="I46" s="78" t="n">
        <ns0:v>-0.1292278662233012</ns0:v>
      </ns0:c>
      <ns0:c r="J46" s="78" t="n">
        <ns0:v>0.0392980728681913</ns0:v>
      </ns0:c>
      <ns0:c r="K46" s="78" t="n">
        <ns0:v>-0.01458336990253064</ns0:v>
      </ns0:c>
      <ns0:c r="L46" s="78" t="n">
        <ns0:v>-0.1005530620945776</ns0:v>
      </ns0:c>
      <ns0:c r="M46" s="78" t="n">
        <ns0:v>-0.02712550933123833</ns0:v>
      </ns0:c>
    </ns0:row>
    <ns0:row r="47" ht="30" customHeight="1">
      <ns0:c r="A47" s="73" t="inlineStr">
        <ns0:is>
          <ns0:t>میوه</ns0:t>
        </ns0:is>
      </ns0:c>
      <ns0:c r="B47" s="78" t="n">
        <ns0:v>-0.1622907782335973</ns0:v>
      </ns0:c>
      <ns0:c r="C47" s="78" t="n">
        <ns0:v>0.00119129976811727</ns0:v>
      </ns0:c>
      <ns0:c r="D47" s="78" t="n">
        <ns0:v>0.009495582871097101</ns0:v>
      </ns0:c>
      <ns0:c r="E47" s="78" t="n">
        <ns0:v>0.0550166044464333</ns0:v>
      </ns0:c>
      <ns0:c r="F47" s="78" t="n">
        <ns0:v>-0.08175498946777292</ns0:v>
      </ns0:c>
      <ns0:c r="G47" s="77" t="n">
        <ns0:v>-1.013690147078357</ns0:v>
      </ns0:c>
      <ns0:c r="H47" s="78" t="n">
        <ns0:v>0.1105418471465227</ns0:v>
      </ns0:c>
      <ns0:c r="I47" s="78" t="n">
        <ns0:v>-0.03771886158377067</ns0:v>
      </ns0:c>
      <ns0:c r="J47" s="78" t="n">
        <ns0:v>-0.2014651305489361</ns0:v>
      </ns0:c>
      <ns0:c r="K47" s="78" t="n">
        <ns0:v>0.06363698500718139</ns0:v>
      </ns0:c>
      <ns0:c r="L47" s="78" t="n">
        <ns0:v>-0.02901144752471335</ns0:v>
      </ns0:c>
      <ns0:c r="M47" s="78" t="n">
        <ns0:v>0.03337571887460409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-0.0101958188415658</ns0:v>
      </ns0:c>
      <ns0:c r="C48" s="78" t="n">
        <ns0:v>-0.1213876104968361</ns0:v>
      </ns0:c>
      <ns0:c r="D48" s="78" t="n">
        <ns0:v>-0.05584550489098319</ns0:v>
      </ns0:c>
      <ns0:c r="E48" s="78" t="n">
        <ns0:v>-0.1405094063013278</ns0:v>
      </ns0:c>
      <ns0:c r="F48" s="78" t="n">
        <ns0:v>-0.005449561987284922</ns0:v>
      </ns0:c>
      <ns0:c r="G48" s="78" t="n">
        <ns0:v>0.05457153330706258</ns0:v>
      </ns0:c>
      <ns0:c r="H48" s="77" t="n">
        <ns0:v>-0.4023892058903183</ns0:v>
      </ns0:c>
      <ns0:c r="I48" s="78" t="n">
        <ns0:v>0.004897289275884141</ns0:v>
      </ns0:c>
      <ns0:c r="J48" s="78" t="n">
        <ns0:v>0.01528886933727719</ns0:v>
      </ns0:c>
      <ns0:c r="K48" s="78" t="n">
        <ns0:v>-0.06912415507374078</ns0:v>
      </ns0:c>
      <ns0:c r="L48" s="78" t="n">
        <ns0:v>0.06526127683985132</ns0:v>
      </ns0:c>
      <ns0:c r="M48" s="78" t="n">
        <ns0:v>-0.02716964981230565</ns0:v>
      </ns0:c>
    </ns0:row>
    <ns0:row r="49" ht="30" customHeight="1">
      <ns0:c r="A49" s="73" t="inlineStr">
        <ns0:is>
          <ns0:t>حبوبات</ns0:t>
        </ns0:is>
      </ns0:c>
      <ns0:c r="B49" s="78" t="n">
        <ns0:v>-0.07185377006078526</ns0:v>
      </ns0:c>
      <ns0:c r="C49" s="78" t="n">
        <ns0:v>-0.0006219485756271097</ns0:v>
      </ns0:c>
      <ns0:c r="D49" s="78" t="n">
        <ns0:v>-0.002088884880980856</ns0:v>
      </ns0:c>
      <ns0:c r="E49" s="78" t="n">
        <ns0:v>0.201809348827515</ns0:v>
      </ns0:c>
      <ns0:c r="F49" s="78" t="n">
        <ns0:v>-0.1041999316303262</ns0:v>
      </ns0:c>
      <ns0:c r="G49" s="78" t="n">
        <ns0:v>-0.06118929471422808</ns0:v>
      </ns0:c>
      <ns0:c r="H49" s="78" t="n">
        <ns0:v>-0.1293458685470902</ns0:v>
      </ns0:c>
      <ns0:c r="I49" s="77" t="n">
        <ns0:v>-0.7284498407058904</ns0:v>
      </ns0:c>
      <ns0:c r="J49" s="78" t="n">
        <ns0:v>-0.1039577971930625</ns0:v>
      </ns0:c>
      <ns0:c r="K49" s="78" t="n">
        <ns0:v>-0.1578214204955348</ns0:v>
      </ns0:c>
      <ns0:c r="L49" s="78" t="n">
        <ns0:v>0.01628231198601542</ns0:v>
      </ns0:c>
      <ns0:c r="M49" s="78" t="n">
        <ns0:v>-0.004538473982058693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-0.1035439957042052</ns0:v>
      </ns0:c>
      <ns0:c r="C50" s="78" t="n">
        <ns0:v>0.006010246334738914</ns0:v>
      </ns0:c>
      <ns0:c r="D50" s="78" t="n">
        <ns0:v>-0.2469873004634982</ns0:v>
      </ns0:c>
      <ns0:c r="E50" s="78" t="n">
        <ns0:v>0.1846160581258167</ns0:v>
      </ns0:c>
      <ns0:c r="F50" s="78" t="n">
        <ns0:v>0.01815761600442102</ns0:v>
      </ns0:c>
      <ns0:c r="G50" s="78" t="n">
        <ns0:v>-0.1888419123274657</ns0:v>
      </ns0:c>
      <ns0:c r="H50" s="78" t="n">
        <ns0:v>-0.06677268720746043</ns0:v>
      </ns0:c>
      <ns0:c r="I50" s="78" t="n">
        <ns0:v>-0.1126813079996312</ns0:v>
      </ns0:c>
      <ns0:c r="J50" s="77" t="n">
        <ns0:v>-0.9709569600620046</ns0:v>
      </ns0:c>
      <ns0:c r="K50" s="78" t="n">
        <ns0:v>-0.07563796211959048</ns0:v>
      </ns0:c>
      <ns0:c r="L50" s="78" t="n">
        <ns0:v>-0.1381689984973166</ns0:v>
      </ns0:c>
      <ns0:c r="M50" s="78" t="n">
        <ns0:v>0.07711558890955549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-0.1076418412811651</ns0:v>
      </ns0:c>
      <ns0:c r="C51" s="78" t="n">
        <ns0:v>-0.07535328015809328</ns0:v>
      </ns0:c>
      <ns0:c r="D51" s="78" t="n">
        <ns0:v>0.01334871117288244</ns0:v>
      </ns0:c>
      <ns0:c r="E51" s="78" t="n">
        <ns0:v>-0.1087283574126093</ns0:v>
      </ns0:c>
      <ns0:c r="F51" s="78" t="n">
        <ns0:v>-0.004621227927892387</ns0:v>
      </ns0:c>
      <ns0:c r="G51" s="78" t="n">
        <ns0:v>0.05183135142084851</ns0:v>
      </ns0:c>
      <ns0:c r="H51" s="78" t="n">
        <ns0:v>-0.1131718160767777</ns0:v>
      </ns0:c>
      <ns0:c r="I51" s="78" t="n">
        <ns0:v>-0.03690874256851852</ns0:v>
      </ns0:c>
      <ns0:c r="J51" s="78" t="n">
        <ns0:v>-0.03857765871563113</ns0:v>
      </ns0:c>
      <ns0:c r="K51" s="77" t="n">
        <ns0:v>-0.5167579421973864</ns0:v>
      </ns0:c>
      <ns0:c r="L51" s="78" t="n">
        <ns0:v>-0.06834674381911596</ns0:v>
      </ns0:c>
      <ns0:c r="M51" s="78" t="n">
        <ns0:v>-0.007955907566914852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-0.2707936019605789</ns0:v>
      </ns0:c>
      <ns0:c r="C52" s="78" t="n">
        <ns0:v>0.1763500061742321</ns0:v>
      </ns0:c>
      <ns0:c r="D52" s="78" t="n">
        <ns0:v>-0.1030410326852663</ns0:v>
      </ns0:c>
      <ns0:c r="E52" s="78" t="n">
        <ns0:v>0.2755399939637605</ns0:v>
      </ns0:c>
      <ns0:c r="F52" s="78" t="n">
        <ns0:v>-0.1133781556108911</ns0:v>
      </ns0:c>
      <ns0:c r="G52" s="78" t="n">
        <ns0:v>-0.03187758567529519</ns0:v>
      </ns0:c>
      <ns0:c r="H52" s="78" t="n">
        <ns0:v>0.1532837477161083</ns0:v>
      </ns0:c>
      <ns0:c r="I52" s="78" t="n">
        <ns0:v>0.06217781265718928</ns0:v>
      </ns0:c>
      <ns0:c r="J52" s="78" t="n">
        <ns0:v>-0.1123552177192628</ns0:v>
      </ns0:c>
      <ns0:c r="K52" s="78" t="n">
        <ns0:v>-0.1970042064725181</ns0:v>
      </ns0:c>
      <ns0:c r="L52" s="77" t="n">
        <ns0:v>-0.8189816619635983</ns0:v>
      </ns0:c>
      <ns0:c r="M52" s="78" t="n">
        <ns0:v>0.05828725821851111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0.2658435679095863</ns0:v>
      </ns0:c>
      <ns0:c r="C53" s="78" t="n">
        <ns0:v>-0.1095242347475447</ns0:v>
      </ns0:c>
      <ns0:c r="D53" s="78" t="n">
        <ns0:v>-0.1583398657170992</ns0:v>
      </ns0:c>
      <ns0:c r="E53" s="78" t="n">
        <ns0:v>-0.3484732955714923</ns0:v>
      </ns0:c>
      <ns0:c r="F53" s="78" t="n">
        <ns0:v>-0.04930467043638124</ns0:v>
      </ns0:c>
      <ns0:c r="G53" s="78" t="n">
        <ns0:v>0.07474846943172628</ns0:v>
      </ns0:c>
      <ns0:c r="H53" s="78" t="n">
        <ns0:v>-0.09042696048867116</ns0:v>
      </ns0:c>
      <ns0:c r="I53" s="78" t="n">
        <ns0:v>-0.03249387713830502</ns0:v>
      </ns0:c>
      <ns0:c r="J53" s="78" t="n">
        <ns0:v>0.2085243542127401</ns0:v>
      </ns0:c>
      <ns0:c r="K53" s="78" t="n">
        <ns0:v>-0.03569181385078952</ns0:v>
      </ns0:c>
      <ns0:c r="L53" s="78" t="n">
        <ns0:v>0.03260832623726541</ns0:v>
      </ns0:c>
      <ns0:c r="M53" s="77" t="n">
        <ns0:v>-0.3616464589135987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سال 1397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-1.0795</ns0:v>
      </ns0:c>
      <ns0:c r="C6" s="69" t="n">
        <ns0:v>-1.0784</ns0:v>
      </ns0:c>
      <ns0:c r="D6" s="70" t="n">
        <ns0:v>1.571</ns0:v>
      </ns0:c>
      <ns0:c r="E6" s="69" t="n">
        <ns0:v>1.6234</ns0:v>
      </ns0:c>
    </ns0:row>
    <ns0:row r="7" ht="23" customHeight="1">
      <ns0:c r="A7" s="28" t="inlineStr">
        <ns0:is>
          <ns0:t>نان و غلات</ns0:t>
        </ns0:is>
      </ns0:c>
      <ns0:c r="B7" s="68" t="n">
        <ns0:v>-0.7023</ns0:v>
      </ns0:c>
      <ns0:c r="C7" s="69" t="n">
        <ns0:v>-0.6741</ns0:v>
      </ns0:c>
      <ns0:c r="D7" s="70" t="n">
        <ns0:v>0.5086000000000001</ns0:v>
      </ns0:c>
      <ns0:c r="E7" s="69" t="n">
        <ns0:v>0.4153</ns0:v>
      </ns0:c>
    </ns0:row>
    <ns0:row r="8" ht="23" customHeight="1">
      <ns0:c r="A8" s="28" t="inlineStr">
        <ns0:is>
          <ns0:t>گوشت</ns0:t>
        </ns0:is>
      </ns0:c>
      <ns0:c r="B8" s="68" t="n">
        <ns0:v>-0.9141</ns0:v>
      </ns0:c>
      <ns0:c r="C8" s="69" t="n">
        <ns0:v>-0.9247</ns0:v>
      </ns0:c>
      <ns0:c r="D8" s="70" t="n">
        <ns0:v>1.2484</ns0:v>
      </ns0:c>
      <ns0:c r="E8" s="69" t="n">
        <ns0:v>1.2717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-0.7906</ns0:v>
      </ns0:c>
      <ns0:c r="C9" s="69" t="n">
        <ns0:v>-0.7848000000000001</ns0:v>
      </ns0:c>
      <ns0:c r="D9" s="70" t="n">
        <ns0:v>0.8514</ns0:v>
      </ns0:c>
      <ns0:c r="E9" s="69" t="n">
        <ns0:v>0.8262</ns0:v>
      </ns0:c>
    </ns0:row>
    <ns0:row r="10" ht="23" customHeight="1">
      <ns0:c r="A10" s="28" t="inlineStr">
        <ns0:is>
          <ns0:t>روغن و چربی</ns0:t>
        </ns0:is>
      </ns0:c>
      <ns0:c r="B10" s="68" t="n">
        <ns0:v>-0.438</ns0:v>
      </ns0:c>
      <ns0:c r="C10" s="69" t="n">
        <ns0:v>-0.4327</ns0:v>
      </ns0:c>
      <ns0:c r="D10" s="70" t="n">
        <ns0:v>0.6707</ns0:v>
      </ns0:c>
      <ns0:c r="E10" s="69" t="n">
        <ns0:v>1.0034</ns0:v>
      </ns0:c>
    </ns0:row>
    <ns0:row r="11" ht="23" customHeight="1">
      <ns0:c r="A11" s="28" t="inlineStr">
        <ns0:is>
          <ns0:t>میوه</ns0:t>
        </ns0:is>
      </ns0:c>
      <ns0:c r="B11" s="68" t="n">
        <ns0:v>-1.0706</ns0:v>
      </ns0:c>
      <ns0:c r="C11" s="69" t="n">
        <ns0:v>-1.0648</ns0:v>
      </ns0:c>
      <ns0:c r="D11" s="70" t="n">
        <ns0:v>1.3419</ns0:v>
      </ns0:c>
      <ns0:c r="E11" s="69" t="n">
        <ns0:v>1.363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-0.454</ns0:v>
      </ns0:c>
      <ns0:c r="C12" s="69" t="n">
        <ns0:v>-0.4436</ns0:v>
      </ns0:c>
      <ns0:c r="D12" s="70" t="n">
        <ns0:v>0.7544999999999999</ns0:v>
      </ns0:c>
      <ns0:c r="E12" s="69" t="n">
        <ns0:v>0.6919999999999999</ns0:v>
      </ns0:c>
    </ns0:row>
    <ns0:row r="13" ht="23" customHeight="1">
      <ns0:c r="A13" s="28" t="inlineStr">
        <ns0:is>
          <ns0:t>حبوبات</ns0:t>
        </ns0:is>
      </ns0:c>
      <ns0:c r="B13" s="68" t="n">
        <ns0:v>-0.6822</ns0:v>
      </ns0:c>
      <ns0:c r="C13" s="69" t="n">
        <ns0:v>-0.708</ns0:v>
      </ns0:c>
      <ns0:c r="D13" s="70" t="n">
        <ns0:v>0.9624</ns0:v>
      </ns0:c>
      <ns0:c r="E13" s="69" t="n">
        <ns0:v>1.2291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-0.9628</ns0:v>
      </ns0:c>
      <ns0:c r="C14" s="69" t="n">
        <ns0:v>-0.9749</ns0:v>
      </ns0:c>
      <ns0:c r="D14" s="70" t="n">
        <ns0:v>2.1644</ns0:v>
      </ns0:c>
      <ns0:c r="E14" s="69" t="n">
        <ns0:v>1.6175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-0.5249</ns0:v>
      </ns0:c>
      <ns0:c r="C15" s="69" t="n">
        <ns0:v>-0.5229</ns0:v>
      </ns0:c>
      <ns0:c r="D15" s="70" t="n">
        <ns0:v>1.0185</ns0:v>
      </ns0:c>
      <ns0:c r="E15" s="69" t="n">
        <ns0:v>0.9978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-0.8421</ns0:v>
      </ns0:c>
      <ns0:c r="C16" s="69" t="n">
        <ns0:v>-0.8517</ns0:v>
      </ns0:c>
      <ns0:c r="D16" s="70" t="n">
        <ns0:v>0.8776</ns0:v>
      </ns0:c>
      <ns0:c r="E16" s="69" t="n">
        <ns0:v>1.0698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-0.4883</ns0:v>
      </ns0:c>
      <ns0:c r="C17" s="69" t="n">
        <ns0:v>-0.4871</ns0:v>
      </ns0:c>
      <ns0:c r="D17" s="70" t="n">
        <ns0:v>0.8551</ns0:v>
      </ns0:c>
      <ns0:c r="E17" s="69" t="n">
        <ns0:v>0.7247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-1.079460363632998</ns0:v>
      </ns0:c>
      <ns0:c r="C26" s="75" t="n">
        <ns0:v>0.00193934279462028</ns0:v>
      </ns0:c>
      <ns0:c r="D26" s="75" t="n">
        <ns0:v>-0.0953041027308849</ns0:v>
      </ns0:c>
      <ns0:c r="E26" s="75" t="n">
        <ns0:v>0.02516570081742976</ns0:v>
      </ns0:c>
      <ns0:c r="F26" s="75" t="n">
        <ns0:v>-0.03481418966477895</ns0:v>
      </ns0:c>
      <ns0:c r="G26" s="75" t="n">
        <ns0:v>-0.0801098836898235</ns0:v>
      </ns0:c>
      <ns0:c r="H26" s="75" t="n">
        <ns0:v>-0.09112451425072851</ns0:v>
      </ns0:c>
      <ns0:c r="I26" s="75" t="n">
        <ns0:v>-0.02911072895749206</ns0:v>
      </ns0:c>
      <ns0:c r="J26" s="75" t="n">
        <ns0:v>-0.01432830424840257</ns0:v>
      </ns0:c>
      <ns0:c r="K26" s="75" t="n">
        <ns0:v>-0.08983089459138069</ns0:v>
      </ns0:c>
      <ns0:c r="L26" s="75" t="n">
        <ns0:v>-0.1216559693029151</ns0:v>
      </ns0:c>
      <ns0:c r="M26" s="75" t="n">
        <ns0:v>0.04282769315290141</ns0:v>
      </ns0:c>
    </ns0:row>
    <ns0:row r="27" ht="30" customHeight="1">
      <ns0:c r="A27" s="73" t="inlineStr">
        <ns0:is>
          <ns0:t>نان و غلات</ns0:t>
        </ns0:is>
      </ns0:c>
      <ns0:c r="B27" s="75" t="n">
        <ns0:v>0.1104036792231858</ns0:v>
      </ns0:c>
      <ns0:c r="C27" s="74" t="n">
        <ns0:v>-0.7023302186659195</ns0:v>
      </ns0:c>
      <ns0:c r="D27" s="75" t="n">
        <ns0:v>0.1840839067160826</ns0:v>
      </ns0:c>
      <ns0:c r="E27" s="75" t="n">
        <ns0:v>-0.1164204358599447</ns0:v>
      </ns0:c>
      <ns0:c r="F27" s="75" t="n">
        <ns0:v>-0.0003795362818076633</ns0:v>
      </ns0:c>
      <ns0:c r="G27" s="75" t="n">
        <ns0:v>0.02799358287519131</ns0:v>
      </ns0:c>
      <ns0:c r="H27" s="75" t="n">
        <ns0:v>-0.08222794860184998</ns0:v>
      </ns0:c>
      <ns0:c r="I27" s="75" t="n">
        <ns0:v>0.03048944952005545</ns0:v>
      </ns0:c>
      <ns0:c r="J27" s="75" t="n">
        <ns0:v>0.02534382125637248</ns0:v>
      </ns0:c>
      <ns0:c r="K27" s="75" t="n">
        <ns0:v>-0.0057500726943717</ns0:v>
      </ns0:c>
      <ns0:c r="L27" s="75" t="n">
        <ns0:v>0.07530130406543563</ns0:v>
      </ns0:c>
      <ns0:c r="M27" s="75" t="n">
        <ns0:v>-0.03592630468374462</ns0:v>
      </ns0:c>
    </ns0:row>
    <ns0:row r="28" ht="30" customHeight="1">
      <ns0:c r="A28" s="73" t="inlineStr">
        <ns0:is>
          <ns0:t>گوشت</ns0:t>
        </ns0:is>
      </ns0:c>
      <ns0:c r="B28" s="75" t="n">
        <ns0:v>0.001630157956717926</ns0:v>
      </ns0:c>
      <ns0:c r="C28" s="75" t="n">
        <ns0:v>0.02017962131827901</ns0:v>
      </ns0:c>
      <ns0:c r="D28" s="74" t="n">
        <ns0:v>-0.9140876246228495</ns0:v>
      </ns0:c>
      <ns0:c r="E28" s="75" t="n">
        <ns0:v>-0.01437912987635947</ns0:v>
      </ns0:c>
      <ns0:c r="F28" s="75" t="n">
        <ns0:v>-0.08634628099881921</ns0:v>
      </ns0:c>
      <ns0:c r="G28" s="75" t="n">
        <ns0:v>-0.005378933834333706</ns0:v>
      </ns0:c>
      <ns0:c r="H28" s="75" t="n">
        <ns0:v>-0.09469135831171316</ns0:v>
      </ns0:c>
      <ns0:c r="I28" s="75" t="n">
        <ns0:v>-0.0211156165350684</ns0:v>
      </ns0:c>
      <ns0:c r="J28" s="75" t="n">
        <ns0:v>-0.04082348732937757</ns0:v>
      </ns0:c>
      <ns0:c r="K28" s="75" t="n">
        <ns0:v>0.002497425780969809</ns0:v>
      </ns0:c>
      <ns0:c r="L28" s="75" t="n">
        <ns0:v>-0.04885469406476311</ns0:v>
      </ns0:c>
      <ns0:c r="M28" s="75" t="n">
        <ns0:v>-0.04826670993511173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0.1112641576067696</ns0:v>
      </ns0:c>
      <ns0:c r="C29" s="75" t="n">
        <ns0:v>-0.1840766509243997</ns0:v>
      </ns0:c>
      <ns0:c r="D29" s="75" t="n">
        <ns0:v>0.05922466441461812</ns0:v>
      </ns0:c>
      <ns0:c r="E29" s="74" t="n">
        <ns0:v>-0.7905626450713745</ns0:v>
      </ns0:c>
      <ns0:c r="F29" s="75" t="n">
        <ns0:v>0.001421960683611997</ns0:v>
      </ns0:c>
      <ns0:c r="G29" s="75" t="n">
        <ns0:v>0.03631757666826742</ns0:v>
      </ns0:c>
      <ns0:c r="H29" s="75" t="n">
        <ns0:v>-0.1576817420438791</ns0:v>
      </ns0:c>
      <ns0:c r="I29" s="75" t="n">
        <ns0:v>0.04493568071993135</ns0:v>
      </ns0:c>
      <ns0:c r="J29" s="75" t="n">
        <ns0:v>0.08954371780592169</ns0:v>
      </ns0:c>
      <ns0:c r="K29" s="75" t="n">
        <ns0:v>-0.0469937544341749</ns0:v>
      </ns0:c>
      <ns0:c r="L29" s="75" t="n">
        <ns0:v>0.1135828196525594</ns0:v>
      </ns0:c>
      <ns0:c r="M29" s="75" t="n">
        <ns0:v>-0.1214420953476967</ns0:v>
      </ns0:c>
    </ns0:row>
    <ns0:row r="30" ht="30" customHeight="1">
      <ns0:c r="A30" s="73" t="inlineStr">
        <ns0:is>
          <ns0:t>روغن و چربی</ns0:t>
        </ns0:is>
      </ns0:c>
      <ns0:c r="B30" s="75" t="n">
        <ns0:v>0.02864299362422918</ns0:v>
      </ns0:c>
      <ns0:c r="C30" s="75" t="n">
        <ns0:v>-0.01667132691046095</ns0:v>
      </ns0:c>
      <ns0:c r="D30" s="75" t="n">
        <ns0:v>-0.1771150786239684</ns0:v>
      </ns0:c>
      <ns0:c r="E30" s="75" t="n">
        <ns0:v>0.119670964097778</ns0:v>
      </ns0:c>
      <ns0:c r="F30" s="74" t="n">
        <ns0:v>-0.4379831943308946</ns0:v>
      </ns0:c>
      <ns0:c r="G30" s="75" t="n">
        <ns0:v>-0.03548078641283429</ns0:v>
      </ns0:c>
      <ns0:c r="H30" s="75" t="n">
        <ns0:v>-0.0511991645560171</ns0:v>
      </ns0:c>
      <ns0:c r="I30" s="75" t="n">
        <ns0:v>-0.09357913618684525</ns0:v>
      </ns0:c>
      <ns0:c r="J30" s="75" t="n">
        <ns0:v>0.0612924327819386</ns0:v>
      </ns0:c>
      <ns0:c r="K30" s="75" t="n">
        <ns0:v>-0.007545523897551556</ns0:v>
      </ns0:c>
      <ns0:c r="L30" s="75" t="n">
        <ns0:v>-0.07603896392025437</ns0:v>
      </ns0:c>
      <ns0:c r="M30" s="75" t="n">
        <ns0:v>-0.006470996826853853</ns0:v>
      </ns0:c>
    </ns0:row>
    <ns0:row r="31" ht="30" customHeight="1">
      <ns0:c r="A31" s="73" t="inlineStr">
        <ns0:is>
          <ns0:t>میوه</ns0:t>
        </ns0:is>
      </ns0:c>
      <ns0:c r="B31" s="75" t="n">
        <ns0:v>-0.1622521219285298</ns0:v>
      </ns0:c>
      <ns0:c r="C31" s="75" t="n">
        <ns0:v>-0.0007230486193294194</ns0:v>
      </ns0:c>
      <ns0:c r="D31" s="75" t="n">
        <ns0:v>-0.01037449614163668</ns0:v>
      </ns0:c>
      <ns0:c r="E31" s="75" t="n">
        <ns0:v>0.05075995173711873</ns0:v>
      </ns0:c>
      <ns0:c r="F31" s="75" t="n">
        <ns0:v>-0.09173354784902182</ns0:v>
      </ns0:c>
      <ns0:c r="G31" s="74" t="n">
        <ns0:v>-1.070561977211655</ns0:v>
      </ns0:c>
      <ns0:c r="H31" s="75" t="n">
        <ns0:v>0.1248748868688875</ns0:v>
      </ns0:c>
      <ns0:c r="I31" s="75" t="n">
        <ns0:v>-0.0500462708065879</ns0:v>
      </ns0:c>
      <ns0:c r="J31" s="75" t="n">
        <ns0:v>-0.1975690180253957</ns0:v>
      </ns0:c>
      <ns0:c r="K31" s="75" t="n">
        <ns0:v>0.05264373065238166</ns0:v>
      </ns0:c>
      <ns0:c r="L31" s="75" t="n">
        <ns0:v>-0.02938397295827791</ns0:v>
      </ns0:c>
      <ns0:c r="M31" s="75" t="n">
        <ns0:v>0.02922785060447429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-0.0100767405357095</ns0:v>
      </ns0:c>
      <ns0:c r="C32" s="75" t="n">
        <ns0:v>-0.1247899575058589</ns0:v>
      </ns0:c>
      <ns0:c r="D32" s="75" t="n">
        <ns0:v>-0.07213910757650552</ns0:v>
      </ns0:c>
      <ns0:c r="E32" s="75" t="n">
        <ns0:v>-0.1427259201938295</ns0:v>
      </ns0:c>
      <ns0:c r="F32" s="75" t="n">
        <ns0:v>-0.003038711306845074</ns0:v>
      </ns0:c>
      <ns0:c r="G32" s="75" t="n">
        <ns0:v>0.05081271307385089</ns0:v>
      </ns0:c>
      <ns0:c r="H32" s="74" t="n">
        <ns0:v>-0.45395409626404</ns0:v>
      </ns0:c>
      <ns0:c r="I32" s="75" t="n">
        <ns0:v>0.0002346210155206378</ns0:v>
      </ns0:c>
      <ns0:c r="J32" s="75" t="n">
        <ns0:v>0.01315255587819716</ns0:v>
      </ns0:c>
      <ns0:c r="K32" s="75" t="n">
        <ns0:v>-0.07266433304957011</ns0:v>
      </ns0:c>
      <ns0:c r="L32" s="75" t="n">
        <ns0:v>0.06095443241372651</ns0:v>
      </ns0:c>
      <ns0:c r="M32" s="75" t="n">
        <ns0:v>-0.0244233812575191</ns0:v>
      </ns0:c>
    </ns0:row>
    <ns0:row r="33" ht="30" customHeight="1">
      <ns0:c r="A33" s="73" t="inlineStr">
        <ns0:is>
          <ns0:t>حبوبات</ns0:t>
        </ns0:is>
      </ns0:c>
      <ns0:c r="B33" s="75" t="n">
        <ns0:v>-0.06378510654018733</ns0:v>
      </ns0:c>
      <ns0:c r="C33" s="75" t="n">
        <ns0:v>0.03531327871604593</ns0:v>
      </ns0:c>
      <ns0:c r="D33" s="75" t="n">
        <ns0:v>0.0451006091256136</ns0:v>
      </ns0:c>
      <ns0:c r="E33" s="75" t="n">
        <ns0:v>0.2604704463381033</ns0:v>
      </ns0:c>
      <ns0:c r="F33" s="75" t="n">
        <ns0:v>-0.1018459769863491</ns0:v>
      </ns0:c>
      <ns0:c r="G33" s="75" t="n">
        <ns0:v>-0.05464342663892229</ns0:v>
      </ns0:c>
      <ns0:c r="H33" s="75" t="n">
        <ns0:v>-0.1174765767555248</ns0:v>
      </ns0:c>
      <ns0:c r="I33" s="74" t="n">
        <ns0:v>-0.6822150807932933</ns0:v>
      </ns0:c>
      <ns0:c r="J33" s="75" t="n">
        <ns0:v>-0.1277986898520616</ns0:v>
      </ns0:c>
      <ns0:c r="K33" s="75" t="n">
        <ns0:v>-0.1655165782175356</ns0:v>
      </ns0:c>
      <ns0:c r="L33" s="75" t="n">
        <ns0:v>0.03450321787157435</ns0:v>
      </ns0:c>
      <ns0:c r="M33" s="75" t="n">
        <ns0:v>0.005522841005222432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-0.1615196891143628</ns0:v>
      </ns0:c>
      <ns0:c r="C34" s="75" t="n">
        <ns0:v>-0.08796770406196763</ns0:v>
      </ns0:c>
      <ns0:c r="D34" s="75" t="n">
        <ns0:v>-0.3862743945575028</ns0:v>
      </ns0:c>
      <ns0:c r="E34" s="75" t="n">
        <ns0:v>0.09275595686093985</ns0:v>
      </ns0:c>
      <ns0:c r="F34" s="75" t="n">
        <ns0:v>0.004131702258566222</ns0:v>
      </ns0:c>
      <ns0:c r="G34" s="75" t="n">
        <ns0:v>-0.2287634724381211</ns0:v>
      </ns0:c>
      <ns0:c r="H34" s="75" t="n">
        <ns0:v>-0.1455384184906105</ns0:v>
      </ns0:c>
      <ns0:c r="I34" s="75" t="n">
        <ns0:v>-0.1568060460735984</ns0:v>
      </ns0:c>
      <ns0:c r="J34" s="74" t="n">
        <ns0:v>-0.9628043342894435</ns0:v>
      </ns0:c>
      <ns0:c r="K34" s="75" t="n">
        <ns0:v>-0.1104733958150776</ns0:v>
      </ns0:c>
      <ns0:c r="L34" s="75" t="n">
        <ns0:v>-0.1901467846037772</ns0:v>
      </ns0:c>
      <ns0:c r="M34" s="75" t="n">
        <ns0:v>0.0585883077626364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-0.1221350848107516</ns0:v>
      </ns0:c>
      <ns0:c r="C35" s="75" t="n">
        <ns0:v>-0.06958993789760515</ns0:v>
      </ns0:c>
      <ns0:c r="D35" s="75" t="n">
        <ns0:v>0.01332552218050312</ns0:v>
      </ns0:c>
      <ns0:c r="E35" s="75" t="n">
        <ns0:v>-0.1114933568913832</ns0:v>
      </ns0:c>
      <ns0:c r="F35" s="75" t="n">
        <ns0:v>-0.01848664208585934</ns0:v>
      </ns0:c>
      <ns0:c r="G35" s="75" t="n">
        <ns0:v>0.04920745311221422</ns0:v>
      </ns0:c>
      <ns0:c r="H35" s="75" t="n">
        <ns0:v>-0.1158270176221291</ns0:v>
      </ns0:c>
      <ns0:c r="I35" s="75" t="n">
        <ns0:v>-0.04207012171665375</ns0:v>
      </ns0:c>
      <ns0:c r="J35" s="75" t="n">
        <ns0:v>-0.02528282935862922</ns0:v>
      </ns0:c>
      <ns0:c r="K35" s="74" t="n">
        <ns0:v>-0.5249371602719158</ns0:v>
      </ns0:c>
      <ns0:c r="L35" s="75" t="n">
        <ns0:v>-0.06562424161379456</ns0:v>
      </ns0:c>
      <ns0:c r="M35" s="75" t="n">
        <ns0:v>-0.006301310344836286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-0.2412671612264165</ns0:v>
      </ns0:c>
      <ns0:c r="C36" s="75" t="n">
        <ns0:v>0.1847557616282976</ns0:v>
      </ns0:c>
      <ns0:c r="D36" s="75" t="n">
        <ns0:v>-0.07190915099278927</ns0:v>
      </ns0:c>
      <ns0:c r="E36" s="75" t="n">
        <ns0:v>0.2914175978519455</ns0:v>
      </ns0:c>
      <ns0:c r="F36" s="75" t="n">
        <ns0:v>-0.1007533411101011</ns0:v>
      </ns0:c>
      <ns0:c r="G36" s="75" t="n">
        <ns0:v>-0.02637804497784845</ns0:v>
      </ns0:c>
      <ns0:c r="H36" s="75" t="n">
        <ns0:v>0.1726701936648207</ns0:v>
      </ns0:c>
      <ns0:c r="I36" s="75" t="n">
        <ns0:v>0.07832957449185127</ns0:v>
      </ns0:c>
      <ns0:c r="J36" s="75" t="n">
        <ns0:v>-0.1242981265921975</ns0:v>
      </ns0:c>
      <ns0:c r="K36" s="75" t="n">
        <ns0:v>-0.1920695680584728</ns0:v>
      </ns0:c>
      <ns0:c r="L36" s="74" t="n">
        <ns0:v>-0.8420784529989426</ns0:v>
      </ns0:c>
      <ns0:c r="M36" s="75" t="n">
        <ns0:v>0.07895447373124102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0.2033657069044631</ns0:v>
      </ns0:c>
      <ns0:c r="C37" s="75" t="n">
        <ns0:v>-0.1274347119526135</ns0:v>
      </ns0:c>
      <ns0:c r="D37" s="75" t="n">
        <ns0:v>-0.1565374744034481</ns0:v>
      </ns0:c>
      <ns0:c r="E37" s="75" t="n">
        <ns0:v>-0.304999027018517</ns0:v>
      </ns0:c>
      <ns0:c r="F37" s="75" t="n">
        <ns0:v>-0.04642711680653475</ns0:v>
      </ns0:c>
      <ns0:c r="G37" s="75" t="n">
        <ns0:v>0.05267187618504015</ns0:v>
      </ns0:c>
      <ns0:c r="H37" s="75" t="n">
        <ns0:v>-0.1017026854142644</ns0:v>
      </ns0:c>
      <ns0:c r="I37" s="75" t="n">
        <ns0:v>-0.03013545231478406</ns0:v>
      </ns0:c>
      <ns0:c r="J37" s="75" t="n">
        <ns0:v>0.1706858427183145</ns0:v>
      </ns0:c>
      <ns0:c r="K37" s="75" t="n">
        <ns0:v>-0.03776537549363416</ns0:v>
      </ns0:c>
      <ns0:c r="L37" s="75" t="n">
        <ns0:v>0.01477171155225264</ns0:v>
      </ns0:c>
      <ns0:c r="M37" s="74" t="n">
        <ns0:v>-0.4883480769260687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-1.078428166669539</ns0:v>
      </ns0:c>
      <ns0:c r="C42" s="78" t="n">
        <ns0:v>-0.01378619551193087</ns0:v>
      </ns0:c>
      <ns0:c r="D42" s="78" t="n">
        <ns0:v>-0.1088057263040619</ns0:v>
      </ns0:c>
      <ns0:c r="E42" s="78" t="n">
        <ns0:v>0.01739779341881983</ns0:v>
      </ns0:c>
      <ns0:c r="F42" s="78" t="n">
        <ns0:v>-0.03154913394992735</ns0:v>
      </ns0:c>
      <ns0:c r="G42" s="78" t="n">
        <ns0:v>-0.08199037054509706</ns0:v>
      </ns0:c>
      <ns0:c r="H42" s="78" t="n">
        <ns0:v>-0.1009689780371948</ns0:v>
      </ns0:c>
      <ns0:c r="I42" s="78" t="n">
        <ns0:v>-0.03040885061122291</ns0:v>
      </ns0:c>
      <ns0:c r="J42" s="78" t="n">
        <ns0:v>-0.01415387018635029</ns0:v>
      </ns0:c>
      <ns0:c r="K42" s="78" t="n">
        <ns0:v>-0.08989663524893164</ns0:v>
      </ns0:c>
      <ns0:c r="L42" s="78" t="n">
        <ns0:v>-0.1257263803072158</ns0:v>
      </ns0:c>
      <ns0:c r="M42" s="78" t="n">
        <ns0:v>0.04033482822888201</ns0:v>
      </ns0:c>
    </ns0:row>
    <ns0:row r="43" ht="30" customHeight="1">
      <ns0:c r="A43" s="73" t="inlineStr">
        <ns0:is>
          <ns0:t>نان و غلات</ns0:t>
        </ns0:is>
      </ns0:c>
      <ns0:c r="B43" s="78" t="n">
        <ns0:v>0.1070073357312409</ns0:v>
      </ns0:c>
      <ns0:c r="C43" s="77" t="n">
        <ns0:v>-0.674062711727437</ns0:v>
      </ns0:c>
      <ns0:c r="D43" s="78" t="n">
        <ns0:v>0.2012784435653382</ns0:v>
      </ns0:c>
      <ns0:c r="E43" s="78" t="n">
        <ns0:v>-0.0999347049920149</ns0:v>
      </ns0:c>
      <ns0:c r="F43" s="78" t="n">
        <ns0:v>-0.01343959669532071</ns0:v>
      </ns0:c>
      <ns0:c r="G43" s="78" t="n">
        <ns0:v>0.02955448720942057</ns0:v>
      </ns0:c>
      <ns0:c r="H43" s="78" t="n">
        <ns0:v>-0.0678631156168789</ns0:v>
      </ns0:c>
      <ns0:c r="I43" s="78" t="n">
        <ns0:v>0.03369603037651166</ns0:v>
      </ns0:c>
      <ns0:c r="J43" s="78" t="n">
        <ns0:v>0.03575155378586143</ns0:v>
      </ns0:c>
      <ns0:c r="K43" s="78" t="n">
        <ns0:v>-0.00159076949770627</ns0:v>
      </ns0:c>
      <ns0:c r="L43" s="78" t="n">
        <ns0:v>0.08064676653334284</ns0:v>
      </ns0:c>
      <ns0:c r="M43" s="78" t="n">
        <ns0:v>-0.02804470714775183</ns0:v>
      </ns0:c>
    </ns0:row>
    <ns0:row r="44" ht="30" customHeight="1">
      <ns0:c r="A44" s="73" t="inlineStr">
        <ns0:is>
          <ns0:t>گوشت</ns0:t>
        </ns0:is>
      </ns0:c>
      <ns0:c r="B44" s="78" t="n">
        <ns0:v>-0.001795242408219238</ns0:v>
      </ns0:c>
      <ns0:c r="C44" s="78" t="n">
        <ns0:v>0.01642579797899091</ns0:v>
      </ns0:c>
      <ns0:c r="D44" s="77" t="n">
        <ns0:v>-0.9246986768150869</ns0:v>
      </ns0:c>
      <ns0:c r="E44" s="78" t="n">
        <ns0:v>-0.01997125549397597</ns0:v>
      </ns0:c>
      <ns0:c r="F44" s="78" t="n">
        <ns0:v>-0.07679604562545846</ns0:v>
      </ns0:c>
      <ns0:c r="G44" s="78" t="n">
        <ns0:v>-0.004183502559756481</ns0:v>
      </ns0:c>
      <ns0:c r="H44" s="78" t="n">
        <ns0:v>-0.09723540044306264</ns0:v>
      </ns0:c>
      <ns0:c r="I44" s="78" t="n">
        <ns0:v>-0.02145320226842546</ns0:v>
      </ns0:c>
      <ns0:c r="J44" s="78" t="n">
        <ns0:v>-0.04235806301162458</ns0:v>
      </ns0:c>
      <ns0:c r="K44" s="78" t="n">
        <ns0:v>-0.003577554183826923</ns0:v>
      </ns0:c>
      <ns0:c r="L44" s="78" t="n">
        <ns0:v>-0.04728924497866337</ns0:v>
      </ns0:c>
      <ns0:c r="M44" s="78" t="n">
        <ns0:v>-0.04985720294486308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0.1127011003971029</ns0:v>
      </ns0:c>
      <ns0:c r="C45" s="78" t="n">
        <ns0:v>-0.1745791897332024</ns0:v>
      </ns0:c>
      <ns0:c r="D45" s="78" t="n">
        <ns0:v>0.05898244350528957</ns0:v>
      </ns0:c>
      <ns0:c r="E45" s="77" t="n">
        <ns0:v>-0.7848296418945792</ns0:v>
      </ns0:c>
      <ns0:c r="F45" s="78" t="n">
        <ns0:v>-0.01379621029885052</ns0:v>
      </ns0:c>
      <ns0:c r="G45" s="78" t="n">
        <ns0:v>0.03600264815909648</ns0:v>
      </ns0:c>
      <ns0:c r="H45" s="78" t="n">
        <ns0:v>-0.1511147915932264</ns0:v>
      </ns0:c>
      <ns0:c r="I45" s="78" t="n">
        <ns0:v>0.04494199685769117</ns0:v>
      </ns0:c>
      <ns0:c r="J45" s="78" t="n">
        <ns0:v>0.1068171706691588</ns0:v>
      </ns0:c>
      <ns0:c r="K45" s="78" t="n">
        <ns0:v>-0.05134980241227519</ns0:v>
      </ns0:c>
      <ns0:c r="L45" s="78" t="n">
        <ns0:v>0.1122918715369861</ns0:v>
      </ns0:c>
      <ns0:c r="M45" s="78" t="n">
        <ns0:v>-0.1155907970846773</ns0:v>
      </ns0:c>
    </ns0:row>
    <ns0:row r="46" ht="30" customHeight="1">
      <ns0:c r="A46" s="73" t="inlineStr">
        <ns0:is>
          <ns0:t>روغن و چربی</ns0:t>
        </ns0:is>
      </ns0:c>
      <ns0:c r="B46" s="78" t="n">
        <ns0:v>0.02039561216745359</ns0:v>
      </ns0:c>
      <ns0:c r="C46" s="78" t="n">
        <ns0:v>-0.09665224948918534</ns0:v>
      </ns0:c>
      <ns0:c r="D46" s="78" t="n">
        <ns0:v>-0.2119206984634401</ns0:v>
      </ns0:c>
      <ns0:c r="E46" s="78" t="n">
        <ns0:v>0.05759820068607014</ns0:v>
      </ns0:c>
      <ns0:c r="F46" s="77" t="n">
        <ns0:v>-0.4326632566671447</ns0:v>
      </ns0:c>
      <ns0:c r="G46" s="78" t="n">
        <ns0:v>-0.0510423094021453</ns0:v>
      </ns0:c>
      <ns0:c r="H46" s="78" t="n">
        <ns0:v>-0.1054625780905536</ns0:v>
      </ns0:c>
      <ns0:c r="I46" s="78" t="n">
        <ns0:v>-0.1131577722191121</ns0:v>
      </ns0:c>
      <ns0:c r="J46" s="78" t="n">
        <ns0:v>0.03374529818011738</ns0:v>
      </ns0:c>
      <ns0:c r="K46" s="78" t="n">
        <ns0:v>-0.01266754106730059</ns0:v>
      </ns0:c>
      <ns0:c r="L46" s="78" t="n">
        <ns0:v>-0.09097108267076552</ns0:v>
      </ns0:c>
      <ns0:c r="M46" s="78" t="n">
        <ns0:v>-0.025512405862583</ns0:v>
      </ns0:c>
    </ns0:row>
    <ns0:row r="47" ht="30" customHeight="1">
      <ns0:c r="A47" s="73" t="inlineStr">
        <ns0:is>
          <ns0:t>میوه</ns0:t>
        </ns0:is>
      </ns0:c>
      <ns0:c r="B47" s="78" t="n">
        <ns0:v>-0.1634632955231461</ns0:v>
      </ns0:c>
      <ns0:c r="C47" s="78" t="n">
        <ns0:v>-0.009591168479907665</ns0:v>
      </ns0:c>
      <ns0:c r="D47" s="78" t="n">
        <ns0:v>-0.004576532123665359</ns0:v>
      </ns0:c>
      <ns0:c r="E47" s="78" t="n">
        <ns0:v>0.04787829046374867</ns0:v>
      </ns0:c>
      <ns0:c r="F47" s="78" t="n">
        <ns0:v>-0.09632584431732266</ns0:v>
      </ns0:c>
      <ns0:c r="G47" s="77" t="n">
        <ns0:v>-1.06475378403559</ns0:v>
      </ns0:c>
      <ns0:c r="H47" s="78" t="n">
        <ns0:v>0.1156720707284374</ns0:v>
      </ns0:c>
      <ns0:c r="I47" s="78" t="n">
        <ns0:v>-0.05071922585498882</ns0:v>
      </ns0:c>
      <ns0:c r="J47" s="78" t="n">
        <ns0:v>-0.2013915730419548</ns0:v>
      </ns0:c>
      <ns0:c r="K47" s="78" t="n">
        <ns0:v>0.05046194904168672</ns0:v>
      </ns0:c>
      <ns0:c r="L47" s="78" t="n">
        <ns0:v>-0.02844988397380699</ns0:v>
      </ns0:c>
      <ns0:c r="M47" s="78" t="n">
        <ns0:v>0.02588803205366321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-0.009519028227887543</ns0:v>
      </ns0:c>
      <ns0:c r="C48" s="78" t="n">
        <ns0:v>-0.1140963930849329</ns0:v>
      </ns0:c>
      <ns0:c r="D48" s="78" t="n">
        <ns0:v>-0.05705595473111972</ns0:v>
      </ns0:c>
      <ns0:c r="E48" s="78" t="n">
        <ns0:v>-0.1317158272060174</ns0:v>
      </ns0:c>
      <ns0:c r="F48" s="78" t="n">
        <ns0:v>-0.003492178555401082</ns0:v>
      </ns0:c>
      <ns0:c r="G48" s="78" t="n">
        <ns0:v>0.05163910315990164</ns0:v>
      </ns0:c>
      <ns0:c r="H48" s="77" t="n">
        <ns0:v>-0.4436351050794978</ns0:v>
      </ns0:c>
      <ns0:c r="I48" s="78" t="n">
        <ns0:v>0.003641798655929681</ns0:v>
      </ns0:c>
      <ns0:c r="J48" s="78" t="n">
        <ns0:v>0.01087564969323998</ns0:v>
      </ns0:c>
      <ns0:c r="K48" s="78" t="n">
        <ns0:v>-0.06473963396519956</ns0:v>
      </ns0:c>
      <ns0:c r="L48" s="78" t="n">
        <ns0:v>0.0613698968303159</ns0:v>
      </ns0:c>
      <ns0:c r="M48" s="78" t="n">
        <ns0:v>-0.02049889090593946</ns0:v>
      </ns0:c>
    </ns0:row>
    <ns0:row r="49" ht="30" customHeight="1">
      <ns0:c r="A49" s="73" t="inlineStr">
        <ns0:is>
          <ns0:t>حبوبات</ns0:t>
        </ns0:is>
      </ns0:c>
      <ns0:c r="B49" s="78" t="n">
        <ns0:v>-0.07818687774198513</ns0:v>
      </ns0:c>
      <ns0:c r="C49" s="78" t="n">
        <ns0:v>-0.005534077530557702</ns0:v>
      </ns0:c>
      <ns0:c r="D49" s="78" t="n">
        <ns0:v>-0.008961094377472773</ns0:v>
      </ns0:c>
      <ns0:c r="E49" s="78" t="n">
        <ns0:v>0.2166027878782129</ns0:v>
      </ns0:c>
      <ns0:c r="F49" s="78" t="n">
        <ns0:v>-0.1146493226027762</ns0:v>
      </ns0:c>
      <ns0:c r="G49" s="78" t="n">
        <ns0:v>-0.06789635998985677</ns0:v>
      </ns0:c>
      <ns0:c r="H49" s="78" t="n">
        <ns0:v>-0.1437394526636863</ns0:v>
      </ns0:c>
      <ns0:c r="I49" s="77" t="n">
        <ns0:v>-0.7080186086419991</ns0:v>
      </ns0:c>
      <ns0:c r="J49" s="78" t="n">
        <ns0:v>-0.1147651549877511</ns0:v>
      </ns0:c>
      <ns0:c r="K49" s="78" t="n">
        <ns0:v>-0.1740532732790165</ns0:v>
      </ns0:c>
      <ns0:c r="L49" s="78" t="n">
        <ns0:v>0.01646108629280178</ns0:v>
      </ns0:c>
      <ns0:c r="M49" s="78" t="n">
        <ns0:v>-0.004769321316588385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-0.1213404875494262</ns0:v>
      </ns0:c>
      <ns0:c r="C50" s="78" t="n">
        <ns0:v>0.003876033576981388</ns0:v>
      </ns0:c>
      <ns0:c r="D50" s="78" t="n">
        <ns0:v>-0.2727482143789053</ns0:v>
      </ns0:c>
      <ns0:c r="E50" s="78" t="n">
        <ns0:v>0.1924135510689921</ns0:v>
      </ns0:c>
      <ns0:c r="F50" s="78" t="n">
        <ns0:v>0.01826641111604693</ns0:v>
      </ns0:c>
      <ns0:c r="G50" s="78" t="n">
        <ns0:v>-0.2051839981874564</ns0:v>
      </ns0:c>
      <ns0:c r="H50" s="78" t="n">
        <ns0:v>-0.08353192462117077</ns0:v>
      </ns0:c>
      <ns0:c r="I50" s="78" t="n">
        <ns0:v>-0.1203816126752931</ns0:v>
      </ns0:c>
      <ns0:c r="J50" s="77" t="n">
        <ns0:v>-0.974948079094841</ns0:v>
      </ns0:c>
      <ns0:c r="K50" s="78" t="n">
        <ns0:v>-0.08237747942301757</ns0:v>
      </ns0:c>
      <ns0:c r="L50" s="78" t="n">
        <ns0:v>-0.1558238764421458</ns0:v>
      </ns0:c>
      <ns0:c r="M50" s="78" t="n">
        <ns0:v>0.07305264066277291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-0.1091791672214755</ns0:v>
      </ns0:c>
      <ns0:c r="C51" s="78" t="n">
        <ns0:v>-0.0727847647587766</ns0:v>
      </ns0:c>
      <ns0:c r="D51" s="78" t="n">
        <ns0:v>0.01015614980232085</ns0:v>
      </ns0:c>
      <ns0:c r="E51" s="78" t="n">
        <ns0:v>-0.1107785073154074</ns0:v>
      </ns0:c>
      <ns0:c r="F51" s="78" t="n">
        <ns0:v>-0.005980046266231567</ns0:v>
      </ns0:c>
      <ns0:c r="G51" s="78" t="n">
        <ns0:v>0.0510655678627002</ns0:v>
      </ns0:c>
      <ns0:c r="H51" s="78" t="n">
        <ns0:v>-0.1136336755045183</ns0:v>
      </ns0:c>
      <ns0:c r="I51" s="78" t="n">
        <ns0:v>-0.03719922486395659</ns0:v>
      </ns0:c>
      <ns0:c r="J51" s="78" t="n">
        <ns0:v>-0.03718205509938011</ns0:v>
      </ns0:c>
      <ns0:c r="K51" s="77" t="n">
        <ns0:v>-0.5229179050612675</ns0:v>
      </ns0:c>
      <ns0:c r="L51" s="78" t="n">
        <ns0:v>-0.06709493131645175</ns0:v>
      </ns0:c>
      <ns0:c r="M51" s="78" t="n">
        <ns0:v>-0.008474215760444753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-0.2628098646168335</ns0:v>
      </ns0:c>
      <ns0:c r="C52" s="78" t="n">
        <ns0:v>0.160718313039007</ns0:v>
      </ns0:c>
      <ns0:c r="D52" s="78" t="n">
        <ns0:v>-0.1034061395745253</ns0:v>
      </ns0:c>
      <ns0:c r="E52" s="78" t="n">
        <ns0:v>0.2594056041704291</ns0:v>
      </ns0:c>
      <ns0:c r="F52" s="78" t="n">
        <ns0:v>-0.1084924184167354</ns0:v>
      </ns0:c>
      <ns0:c r="G52" s="78" t="n">
        <ns0:v>-0.0345057432654431</ns0:v>
      </ns0:c>
      <ns0:c r="H52" s="78" t="n">
        <ns0:v>0.1452771827339003</ns0:v>
      </ns0:c>
      <ns0:c r="I52" s="78" t="n">
        <ns0:v>0.06404767395183247</ns0:v>
      </ns0:c>
      <ns0:c r="J52" s="78" t="n">
        <ns0:v>-0.1161276286628914</ns0:v>
      </ns0:c>
      <ns0:c r="K52" s="78" t="n">
        <ns0:v>-0.2030453101643889</ns0:v>
      </ns0:c>
      <ns0:c r="L52" s="77" t="n">
        <ns0:v>-0.8517141810029309</ns0:v>
      </ns0:c>
      <ns0:c r="M52" s="78" t="n">
        <ns0:v>0.06919612017689286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0.2120553037738588</ns0:v>
      </ns0:c>
      <ns0:c r="C53" s="78" t="n">
        <ns0:v>-0.09882110132532955</ns0:v>
      </ns0:c>
      <ns0:c r="D53" s="78" t="n">
        <ns0:v>-0.1314853080555576</ns0:v>
      </ns0:c>
      <ns0:c r="E53" s="78" t="n">
        <ns0:v>-0.2784454330313811</ns0:v>
      </ns0:c>
      <ns0:c r="F53" s="78" t="n">
        <ns0:v>-0.04457889453297291</ns0:v>
      </ns0:c>
      <ns0:c r="G53" s="78" t="n">
        <ns0:v>0.05709275890904692</ns0:v>
      </ns0:c>
      <ns0:c r="H53" s="78" t="n">
        <ns0:v>-0.08061949711076977</ns0:v>
      </ns0:c>
      <ns0:c r="I53" s="78" t="n">
        <ns0:v>-0.02595253089529233</ns0:v>
      </ns0:c>
      <ns0:c r="J53" s="78" t="n">
        <ns0:v>0.1642216638349007</ns0:v>
      </ns0:c>
      <ns0:c r="K53" s="78" t="n">
        <ns0:v>-0.02794209372690759</ns0:v>
      </ns0:c>
      <ns0:c r="L53" s="78" t="n">
        <ns0:v>0.01974711528311553</ns0:v>
      </ns0:c>
      <ns0:c r="M53" s="77" t="n">
        <ns0:v>-0.4871332933303968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سال 1398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-1.0815</ns0:v>
      </ns0:c>
      <ns0:c r="C6" s="69" t="n">
        <ns0:v>-1.0806</ns0:v>
      </ns0:c>
      <ns0:c r="D6" s="70" t="n">
        <ns0:v>1.5526</ns0:v>
      </ns0:c>
      <ns0:c r="E6" s="69" t="n">
        <ns0:v>1.6033</ns0:v>
      </ns0:c>
    </ns0:row>
    <ns0:row r="7" ht="23" customHeight="1">
      <ns0:c r="A7" s="28" t="inlineStr">
        <ns0:is>
          <ns0:t>نان و غلات</ns0:t>
        </ns0:is>
      </ns0:c>
      <ns0:c r="B7" s="68" t="n">
        <ns0:v>-0.661</ns0:v>
      </ns0:c>
      <ns0:c r="C7" s="69" t="n">
        <ns0:v>-0.6324</ns0:v>
      </ns0:c>
      <ns0:c r="D7" s="70" t="n">
        <ns0:v>0.3879</ns0:v>
      </ns0:c>
      <ns0:c r="E7" s="69" t="n">
        <ns0:v>0.2816</ns0:v>
      </ns0:c>
    </ns0:row>
    <ns0:row r="8" ht="23" customHeight="1">
      <ns0:c r="A8" s="28" t="inlineStr">
        <ns0:is>
          <ns0:t>گوشت</ns0:t>
        </ns0:is>
      </ns0:c>
      <ns0:c r="B8" s="68" t="n">
        <ns0:v>-0.9213</ns0:v>
      </ns0:c>
      <ns0:c r="C8" s="69" t="n">
        <ns0:v>-0.9321</ns0:v>
      </ns0:c>
      <ns0:c r="D8" s="70" t="n">
        <ns0:v>1.2483</ns0:v>
      </ns0:c>
      <ns0:c r="E8" s="69" t="n">
        <ns0:v>1.2708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-0.7824</ns0:v>
      </ns0:c>
      <ns0:c r="C9" s="69" t="n">
        <ns0:v>-0.7772</ns0:v>
      </ns0:c>
      <ns0:c r="D9" s="70" t="n">
        <ns0:v>0.8404</ns0:v>
      </ns0:c>
      <ns0:c r="E9" s="69" t="n">
        <ns0:v>0.8149</ns0:v>
      </ns0:c>
    </ns0:row>
    <ns0:row r="10" ht="23" customHeight="1">
      <ns0:c r="A10" s="28" t="inlineStr">
        <ns0:is>
          <ns0:t>روغن و چربی</ns0:t>
        </ns0:is>
      </ns0:c>
      <ns0:c r="B10" s="68" t="n">
        <ns0:v>-0.4459</ns0:v>
      </ns0:c>
      <ns0:c r="C10" s="69" t="n">
        <ns0:v>-0.4392</ns0:v>
      </ns0:c>
      <ns0:c r="D10" s="70" t="n">
        <ns0:v>0.6850000000000001</ns0:v>
      </ns0:c>
      <ns0:c r="E10" s="69" t="n">
        <ns0:v>1.012</ns0:v>
      </ns0:c>
    </ns0:row>
    <ns0:row r="11" ht="23" customHeight="1">
      <ns0:c r="A11" s="28" t="inlineStr">
        <ns0:is>
          <ns0:t>میوه</ns0:t>
        </ns0:is>
      </ns0:c>
      <ns0:c r="B11" s="68" t="n">
        <ns0:v>-1.0689</ns0:v>
      </ns0:c>
      <ns0:c r="C11" s="69" t="n">
        <ns0:v>-1.0637</ns0:v>
      </ns0:c>
      <ns0:c r="D11" s="70" t="n">
        <ns0:v>1.3375</ns0:v>
      </ns0:c>
      <ns0:c r="E11" s="69" t="n">
        <ns0:v>1.3564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-0.4998</ns0:v>
      </ns0:c>
      <ns0:c r="C12" s="69" t="n">
        <ns0:v>-0.4906</ns0:v>
      </ns0:c>
      <ns0:c r="D12" s="70" t="n">
        <ns0:v>0.7784</ns0:v>
      </ns0:c>
      <ns0:c r="E12" s="69" t="n">
        <ns0:v>0.7218</ns0:v>
      </ns0:c>
    </ns0:row>
    <ns0:row r="13" ht="23" customHeight="1">
      <ns0:c r="A13" s="28" t="inlineStr">
        <ns0:is>
          <ns0:t>حبوبات</ns0:t>
        </ns0:is>
      </ns0:c>
      <ns0:c r="B13" s="68" t="n">
        <ns0:v>-0.6743</ns0:v>
      </ns0:c>
      <ns0:c r="C13" s="69" t="n">
        <ns0:v>-0.6986</ns0:v>
      </ns0:c>
      <ns0:c r="D13" s="70" t="n">
        <ns0:v>0.9846</ns0:v>
      </ns0:c>
      <ns0:c r="E13" s="69" t="n">
        <ns0:v>1.259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-0.9724</ns0:v>
      </ns0:c>
      <ns0:c r="C14" s="69" t="n">
        <ns0:v>-0.9902</ns0:v>
      </ns0:c>
      <ns0:c r="D14" s="70" t="n">
        <ns0:v>2.3249</ns0:v>
      </ns0:c>
      <ns0:c r="E14" s="69" t="n">
        <ns0:v>1.7607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-0.5557</ns0:v>
      </ns0:c>
      <ns0:c r="C15" s="69" t="n">
        <ns0:v>-0.5521</ns0:v>
      </ns0:c>
      <ns0:c r="D15" s="70" t="n">
        <ns0:v>1.0234</ns0:v>
      </ns0:c>
      <ns0:c r="E15" s="69" t="n">
        <ns0:v>0.9926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-0.8839</ns0:v>
      </ns0:c>
      <ns0:c r="C16" s="69" t="n">
        <ns0:v>-0.8933</ns0:v>
      </ns0:c>
      <ns0:c r="D16" s="70" t="n">
        <ns0:v>0.9608</ns0:v>
      </ns0:c>
      <ns0:c r="E16" s="69" t="n">
        <ns0:v>1.1478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-0.5033</ns0:v>
      </ns0:c>
      <ns0:c r="C17" s="69" t="n">
        <ns0:v>-0.5023</ns0:v>
      </ns0:c>
      <ns0:c r="D17" s="70" t="n">
        <ns0:v>0.8754</ns0:v>
      </ns0:c>
      <ns0:c r="E17" s="69" t="n">
        <ns0:v>0.7541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-1.081519823347779</ns0:v>
      </ns0:c>
      <ns0:c r="C26" s="75" t="n">
        <ns0:v>0.0145936321118477</ns0:v>
      </ns0:c>
      <ns0:c r="D26" s="75" t="n">
        <ns0:v>-0.09617182642075538</ns0:v>
      </ns0:c>
      <ns0:c r="E26" s="75" t="n">
        <ns0:v>0.02858070865300509</ns0:v>
      </ns0:c>
      <ns0:c r="F26" s="75" t="n">
        <ns0:v>-0.03239022982672572</ns0:v>
      </ns0:c>
      <ns0:c r="G26" s="75" t="n">
        <ns0:v>-0.07942725470578922</ns0:v>
      </ns0:c>
      <ns0:c r="H26" s="75" t="n">
        <ns0:v>-0.09468098285471155</ns0:v>
      </ns0:c>
      <ns0:c r="I26" s="75" t="n">
        <ns0:v>-0.02978062644697597</ns0:v>
      </ns0:c>
      <ns0:c r="J26" s="75" t="n">
        <ns0:v>-0.01147947724715504</ns0:v>
      </ns0:c>
      <ns0:c r="K26" s="75" t="n">
        <ns0:v>-0.08779923404806535</ns0:v>
      </ns0:c>
      <ns0:c r="L26" s="75" t="n">
        <ns0:v>-0.1230204295234801</ns0:v>
      </ns0:c>
      <ns0:c r="M26" s="75" t="n">
        <ns0:v>0.04392002635170591</ns0:v>
      </ns0:c>
    </ns0:row>
    <ns0:row r="27" ht="30" customHeight="1">
      <ns0:c r="A27" s="73" t="inlineStr">
        <ns0:is>
          <ns0:t>نان و غلات</ns0:t>
        </ns0:is>
      </ns0:c>
      <ns0:c r="B27" s="75" t="n">
        <ns0:v>0.1317186176686677</ns0:v>
      </ns0:c>
      <ns0:c r="C27" s="74" t="n">
        <ns0:v>-0.6610479000966458</ns0:v>
      </ns0:c>
      <ns0:c r="D27" s="75" t="n">
        <ns0:v>0.2289901107216337</ns0:v>
      </ns0:c>
      <ns0:c r="E27" s="75" t="n">
        <ns0:v>-0.1351264550799557</ns0:v>
      </ns0:c>
      <ns0:c r="F27" s="75" t="n">
        <ns0:v>0.003032718600326297</ns0:v>
      </ns0:c>
      <ns0:c r="G27" s="75" t="n">
        <ns0:v>0.03700561831989954</ns0:v>
      </ns0:c>
      <ns0:c r="H27" s="75" t="n">
        <ns0:v>-0.08438041138743793</ns0:v>
      </ns0:c>
      <ns0:c r="I27" s="75" t="n">
        <ns0:v>0.03706554777814234</ns0:v>
      </ns0:c>
      <ns0:c r="J27" s="75" t="n">
        <ns0:v>0.02528419765860244</ns0:v>
      </ns0:c>
      <ns0:c r="K27" s="75" t="n">
        <ns0:v>-0.003653236766278702</ns0:v>
      </ns0:c>
      <ns0:c r="L27" s="75" t="n">
        <ns0:v>0.09469492234823645</ns0:v>
      </ns0:c>
      <ns0:c r="M27" s="75" t="n">
        <ns0:v>-0.0400947271825662</ns0:v>
      </ns0:c>
    </ns0:row>
    <ns0:row r="28" ht="30" customHeight="1">
      <ns0:c r="A28" s="73" t="inlineStr">
        <ns0:is>
          <ns0:t>گوشت</ns0:t>
        </ns0:is>
      </ns0:c>
      <ns0:c r="B28" s="75" t="n">
        <ns0:v>0.0004559792081794006</ns0:v>
      </ns0:c>
      <ns0:c r="C28" s="75" t="n">
        <ns0:v>0.02314902889607992</ns0:v>
      </ns0:c>
      <ns0:c r="D28" s="74" t="n">
        <ns0:v>-0.9212674261449274</ns0:v>
      </ns0:c>
      <ns0:c r="E28" s="75" t="n">
        <ns0:v>-0.01329400223780612</ns0:v>
      </ns0:c>
      <ns0:c r="F28" s="75" t="n">
        <ns0:v>-0.08388547396703461</ns0:v>
      </ns0:c>
      <ns0:c r="G28" s="75" t="n">
        <ns0:v>-0.006488701733979635</ns0:v>
      </ns0:c>
      <ns0:c r="H28" s="75" t="n">
        <ns0:v>-0.09510300238406304</ns0:v>
      </ns0:c>
      <ns0:c r="I28" s="75" t="n">
        <ns0:v>-0.02035002691541159</ns0:v>
      </ns0:c>
      <ns0:c r="J28" s="75" t="n">
        <ns0:v>-0.03777841457960406</ns0:v>
      </ns0:c>
      <ns0:c r="K28" s="75" t="n">
        <ns0:v>0.001379373268823871</ns0:v>
      </ns0:c>
      <ns0:c r="L28" s="75" t="n">
        <ns0:v>-0.04938065407340873</ns0:v>
      </ns0:c>
      <ns0:c r="M28" s="75" t="n">
        <ns0:v>-0.04685808931270297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0.1178169998851212</ns0:v>
      </ns0:c>
      <ns0:c r="C29" s="75" t="n">
        <ns0:v>-0.1965656867421034</ns0:v>
      </ns0:c>
      <ns0:c r="D29" s="75" t="n">
        <ns0:v>0.06411672932803196</ns0:v>
      </ns0:c>
      <ns0:c r="E29" s="74" t="n">
        <ns0:v>-0.7824223635141967</ns0:v>
      </ns0:c>
      <ns0:c r="F29" s="75" t="n">
        <ns0:v>0.00216378636272413</ns0:v>
      </ns0:c>
      <ns0:c r="G29" s="75" t="n">
        <ns0:v>0.03838116647949569</ns0:v>
      </ns0:c>
      <ns0:c r="H29" s="75" t="n">
        <ns0:v>-0.1643943018702396</ns0:v>
      </ns0:c>
      <ns0:c r="I29" s="75" t="n">
        <ns0:v>0.04775990081612658</ns0:v>
      </ns0:c>
      <ns0:c r="J29" s="75" t="n">
        <ns0:v>0.09510040413882695</ns0:v>
      </ns0:c>
      <ns0:c r="K29" s="75" t="n">
        <ns0:v>-0.05010049583548266</ns0:v>
      </ns0:c>
      <ns0:c r="L29" s="75" t="n">
        <ns0:v>0.1211723793856323</ns0:v>
      </ns0:c>
      <ns0:c r="M29" s="75" t="n">
        <ns0:v>-0.1285653070573527</ns0:v>
      </ns0:c>
    </ns0:row>
    <ns0:row r="30" ht="30" customHeight="1">
      <ns0:c r="A30" s="73" t="inlineStr">
        <ns0:is>
          <ns0:t>روغن و چربی</ns0:t>
        </ns0:is>
      </ns0:c>
      <ns0:c r="B30" s="75" t="n">
        <ns0:v>0.02974756700086581</ns0:v>
      </ns0:c>
      <ns0:c r="C30" s="75" t="n">
        <ns0:v>-0.02727334240835224</ns0:v>
      </ns0:c>
      <ns0:c r="D30" s="75" t="n">
        <ns0:v>-0.1727241533238326</ns0:v>
      </ns0:c>
      <ns0:c r="E30" s="75" t="n">
        <ns0:v>0.1162389392638154</ns0:v>
      </ns0:c>
      <ns0:c r="F30" s="74" t="n">
        <ns0:v>-0.4459131712952284</ns0:v>
      </ns0:c>
      <ns0:c r="G30" s="75" t="n">
        <ns0:v>-0.03415188878411352</ns0:v>
      </ns0:c>
      <ns0:c r="H30" s="75" t="n">
        <ns0:v>-0.0482260778984471</ns0:v>
      </ns0:c>
      <ns0:c r="I30" s="75" t="n">
        <ns0:v>-0.09568797583490009</ns0:v>
      </ns0:c>
      <ns0:c r="J30" s="75" t="n">
        <ns0:v>0.05743269112074137</ns0:v>
      </ns0:c>
      <ns0:c r="K30" s="75" t="n">
        <ns0:v>-0.007493928968577789</ns0:v>
      </ns0:c>
      <ns0:c r="L30" s="75" t="n">
        <ns0:v>-0.07234035874471308</ns0:v>
      </ns0:c>
      <ns0:c r="M30" s="75" t="n">
        <ns0:v>-0.006647509712622294</ns0:v>
      </ns0:c>
    </ns0:row>
    <ns0:row r="31" ht="30" customHeight="1">
      <ns0:c r="A31" s="73" t="inlineStr">
        <ns0:is>
          <ns0:t>میوه</ns0:t>
        </ns0:is>
      </ns0:c>
      <ns0:c r="B31" s="75" t="n">
        <ns0:v>-0.152214533838809</ns0:v>
      </ns0:c>
      <ns0:c r="C31" s="75" t="n">
        <ns0:v>-0.002567065149930627</ns0:v>
      </ns0:c>
      <ns0:c r="D31" s="75" t="n">
        <ns0:v>-0.01278472098906767</ns0:v>
      </ns0:c>
      <ns0:c r="E31" s="75" t="n">
        <ns0:v>0.0457946014678554</ns0:v>
      </ns0:c>
      <ns0:c r="F31" s="75" t="n">
        <ns0:v>-0.08762893026388384</ns0:v>
      </ns0:c>
      <ns0:c r="G31" s="74" t="n">
        <ns0:v>-1.068933496031193</ns0:v>
      </ns0:c>
      <ns0:c r="H31" s="75" t="n">
        <ns0:v>0.1155022925526911</ns0:v>
      </ns0:c>
      <ns0:c r="I31" s="75" t="n">
        <ns0:v>-0.04826966402017879</ns0:v>
      </ns0:c>
      <ns0:c r="J31" s="75" t="n">
        <ns0:v>-0.1850199001260128</ns0:v>
      </ns0:c>
      <ns0:c r="K31" s="75" t="n">
        <ns0:v>0.04781776334577419</ns0:v>
      </ns0:c>
      <ns0:c r="L31" s="75" t="n">
        <ns0:v>-0.02825400973442098</ns0:v>
      </ns0:c>
      <ns0:c r="M31" s="75" t="n">
        <ns0:v>0.02647668457919494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-0.008444236223281042</ns0:v>
      </ns0:c>
      <ns0:c r="C32" s="75" t="n">
        <ns0:v>-0.1181088479708524</ns0:v>
      </ns0:c>
      <ns0:c r="D32" s="75" t="n">
        <ns0:v>-0.06470440480912386</ns0:v>
      </ns0:c>
      <ns0:c r="E32" s="75" t="n">
        <ns0:v>-0.1321630264502287</ns0:v>
      </ns0:c>
      <ns0:c r="F32" s="75" t="n">
        <ns0:v>-0.003220781855364103</ns0:v>
      </ns0:c>
      <ns0:c r="G32" s="75" t="n">
        <ns0:v>0.04705891271079098</ns0:v>
      </ns0:c>
      <ns0:c r="H32" s="74" t="n">
        <ns0:v>-0.4997845405284906</ns0:v>
      </ns0:c>
      <ns0:c r="I32" s="75" t="n">
        <ns0:v>-0.0004524508323513834</ns0:v>
      </ns0:c>
      <ns0:c r="J32" s="75" t="n">
        <ns0:v>0.01054330312076736</ns0:v>
      </ns0:c>
      <ns0:c r="K32" s="75" t="n">
        <ns0:v>-0.06627638838739094</ns0:v>
      </ns0:c>
      <ns0:c r="L32" s="75" t="n">
        <ns0:v>0.05688924410598489</ns0:v>
      </ns0:c>
      <ns0:c r="M32" s="75" t="n">
        <ns0:v>-0.02233378848746634</ns0:v>
      </ns0:c>
    </ns0:row>
    <ns0:row r="33" ht="30" customHeight="1">
      <ns0:c r="A33" s="73" t="inlineStr">
        <ns0:is>
          <ns0:t>حبوبات</ns0:t>
        </ns0:is>
      </ns0:c>
      <ns0:c r="B33" s="75" t="n">
        <ns0:v>-0.06493984369890474</ns0:v>
      </ns0:c>
      <ns0:c r="C33" s="75" t="n">
        <ns0:v>0.028649214123411</ns0:v>
      </ns0:c>
      <ns0:c r="D33" s="75" t="n">
        <ns0:v>0.0444428146954234</ns0:v>
      </ns0:c>
      <ns0:c r="E33" s="75" t="n">
        <ns0:v>0.2642296067711115</ns0:v>
      </ns0:c>
      <ns0:c r="F33" s="75" t="n">
        <ns0:v>-0.1075949999755518</ns0:v>
      </ns0:c>
      <ns0:c r="G33" s="75" t="n">
        <ns0:v>-0.05657688746244494</ns0:v>
      </ns0:c>
      <ns0:c r="H33" s="75" t="n">
        <ns0:v>-0.1218397100152268</ns0:v>
      </ns0:c>
      <ns0:c r="I33" s="74" t="n">
        <ns0:v>-0.6743039735132926</ns0:v>
      </ns0:c>
      <ns0:c r="J33" s="75" t="n">
        <ns0:v>-0.1337317685750901</ns0:v>
      </ns0:c>
      <ns0:c r="K33" s="75" t="n">
        <ns0:v>-0.172165629776029</ns0:v>
      </ns0:c>
      <ns0:c r="L33" s="75" t="n">
        <ns0:v>0.03597441110885122</ns0:v>
      </ns0:c>
      <ns0:c r="M33" s="75" t="n">
        <ns0:v>0.004307012740836259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-0.1953091753982894</ns0:v>
      </ns0:c>
      <ns0:c r="C34" s="75" t="n">
        <ns0:v>-0.08250438710098358</ns0:v>
      </ns0:c>
      <ns0:c r="D34" s="75" t="n">
        <ns0:v>-0.4311765497922124</ns0:v>
      </ns0:c>
      <ns0:c r="E34" s="75" t="n">
        <ns0:v>0.09541308415444992</ns0:v>
      </ns0:c>
      <ns0:c r="F34" s="75" t="n">
        <ns0:v>0.00588127397226024</ns0:v>
      </ns0:c>
      <ns0:c r="G34" s="75" t="n">
        <ns0:v>-0.2488204921081551</ns0:v>
      </ns0:c>
      <ns0:c r="H34" s="75" t="n">
        <ns0:v>-0.1824838425420804</ns0:v>
      </ns0:c>
      <ns0:c r="I34" s="75" t="n">
        <ns0:v>-0.1628564748903206</ns0:v>
      </ns0:c>
      <ns0:c r="J34" s="74" t="n">
        <ns0:v>-0.9723787912724019</ns0:v>
      </ns0:c>
      <ns0:c r="K34" s="75" t="n">
        <ns0:v>-0.1194334215218853</ns0:v>
      </ns0:c>
      <ns0:c r="L34" s="75" t="n">
        <ns0:v>-0.2208218838633557</ns0:v>
      </ns0:c>
      <ns0:c r="M34" s="75" t="n">
        <ns0:v>0.04537488625919616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-0.1208508602132255</ns0:v>
      </ns0:c>
      <ns0:c r="C35" s="75" t="n">
        <ns0:v>-0.05993665520658189</ns0:v>
      </ns0:c>
      <ns0:c r="D35" s="75" t="n">
        <ns0:v>0.005598665811389777</ns0:v>
      </ns0:c>
      <ns0:c r="E35" s="75" t="n">
        <ns0:v>-0.1083293103670888</ns0:v>
      </ns0:c>
      <ns0:c r="F35" s="75" t="n">
        <ns0:v>-0.01716032041152835</ns0:v>
      </ns0:c>
      <ns0:c r="G35" s="75" t="n">
        <ns0:v>0.04593525107989637</ns0:v>
      </ns0:c>
      <ns0:c r="H35" s="75" t="n">
        <ns0:v>-0.1084423548408765</ns0:v>
      </ns0:c>
      <ns0:c r="I35" s="75" t="n">
        <ns0:v>-0.04128293358262859</ns0:v>
      </ns0:c>
      <ns0:c r="J35" s="75" t="n">
        <ns0:v>-0.02197229868132305</ns0:v>
      </ns0:c>
      <ns0:c r="K35" s="74" t="n">
        <ns0:v>-0.555717902436241</ns0:v>
      </ns0:c>
      <ns0:c r="L35" s="75" t="n">
        <ns0:v>-0.06012284595487877</ns0:v>
      </ns0:c>
      <ns0:c r="M35" s="75" t="n">
        <ns0:v>-0.003505756523113606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-0.2209926590031807</ns0:v>
      </ns0:c>
      <ns0:c r="C36" s="75" t="n">
        <ns0:v>0.1566205213692812</ns0:v>
      </ns0:c>
      <ns0:c r="D36" s="75" t="n">
        <ns0:v>-0.06206097103654885</ns0:v>
      </ns0:c>
      <ns0:c r="E36" s="75" t="n">
        <ns0:v>0.2592873932121507</ns0:v>
      </ns0:c>
      <ns0:c r="F36" s="75" t="n">
        <ns0:v>-0.09267138512805943</ns0:v>
      </ns0:c>
      <ns0:c r="G36" s="75" t="n">
        <ns0:v>-0.02684468508742822</ns0:v>
      </ns0:c>
      <ns0:c r="H36" s="75" t="n">
        <ns0:v>0.1570808056679692</ns0:v>
      </ns0:c>
      <ns0:c r="I36" s="75" t="n">
        <ns0:v>0.07838422706193582</ns0:v>
      </ns0:c>
      <ns0:c r="J36" s="75" t="n">
        <ns0:v>-0.1230865165712709</ns0:v>
      </ns0:c>
      <ns0:c r="K36" s="75" t="n">
        <ns0:v>-0.190616591597808</ns0:v>
      </ns0:c>
      <ns0:c r="L36" s="74" t="n">
        <ns0:v>-0.8838845684561817</ns0:v>
      </ns0:c>
      <ns0:c r="M36" s="75" t="n">
        <ns0:v>0.08536135379591443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0.1980095655572723</ns0:v>
      </ns0:c>
      <ns0:c r="C37" s="75" t="n">
        <ns0:v>-0.1302227967150224</ns0:v>
      </ns0:c>
      <ns0:c r="D37" s="75" t="n">
        <ns0:v>-0.1521617295187697</ns0:v>
      </ns0:c>
      <ns0:c r="E37" s="75" t="n">
        <ns0:v>-0.296798489693239</ns0:v>
      </ns0:c>
      <ns0:c r="F37" s="75" t="n">
        <ns0:v>-0.04865255994948622</ns0:v>
      </ns0:c>
      <ns0:c r="G37" s="75" t="n">
        <ns0:v>0.05029517268256615</ns0:v>
      </ns0:c>
      <ns0:c r="H37" s="75" t="n">
        <ns0:v>-0.1024558861682299</ns0:v>
      </ns0:c>
      <ns0:c r="I37" s="75" t="n">
        <ns0:v>-0.02891331396280383</ns0:v>
      </ns0:c>
      <ns0:c r="J37" s="75" t="n">
        <ns0:v>0.1646496018216238</ns0:v>
      </ns0:c>
      <ns0:c r="K37" s="75" t="n">
        <ns0:v>-0.03651548136287687</ns0:v>
      </ns0:c>
      <ns0:c r="L37" s="75" t="n">
        <ns0:v>0.01201911646300697</ns0:v>
      </ns0:c>
      <ns0:c r="M37" s="74" t="n">
        <ns0:v>-0.5033465574023643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-1.080649116203856</ns0:v>
      </ns0:c>
      <ns0:c r="C42" s="78" t="n">
        <ns0:v>0.0005388983939391894</ns0:v>
      </ns0:c>
      <ns0:c r="D42" s="78" t="n">
        <ns0:v>-0.1102245388992032</ns0:v>
      </ns0:c>
      <ns0:c r="E42" s="78" t="n">
        <ns0:v>0.02153083380942042</ns0:v>
      </ns0:c>
      <ns0:c r="F42" s="78" t="n">
        <ns0:v>-0.02972624421949195</ns0:v>
      </ns0:c>
      <ns0:c r="G42" s="78" t="n">
        <ns0:v>-0.08147069453937714</ns0:v>
      </ns0:c>
      <ns0:c r="H42" s="78" t="n">
        <ns0:v>-0.1049239082621317</ns0:v>
      </ns0:c>
      <ns0:c r="I42" s="78" t="n">
        <ns0:v>-0.03087753482987095</ns0:v>
      </ns0:c>
      <ns0:c r="J42" s="78" t="n">
        <ns0:v>-0.01043566432572032</ns0:v>
      </ns0:c>
      <ns0:c r="K42" s="78" t="n">
        <ns0:v>-0.08815519112735982</ns0:v>
      </ns0:c>
      <ns0:c r="L42" s="78" t="n">
        <ns0:v>-0.1273193045833411</ns0:v>
      </ns0:c>
      <ns0:c r="M42" s="78" t="n">
        <ns0:v>0.04170818318661889</ns0:v>
      </ns0:c>
    </ns0:row>
    <ns0:row r="43" ht="30" customHeight="1">
      <ns0:c r="A43" s="73" t="inlineStr">
        <ns0:is>
          <ns0:t>نان و غلات</ns0:t>
        </ns0:is>
      </ns0:c>
      <ns0:c r="B43" s="78" t="n">
        <ns0:v>0.1281202759625505</ns0:v>
      </ns0:c>
      <ns0:c r="C43" s="77" t="n">
        <ns0:v>-0.632421673320164</ns0:v>
      </ns0:c>
      <ns0:c r="D43" s="78" t="n">
        <ns0:v>0.2500285912419525</ns0:v>
      </ns0:c>
      <ns0:c r="E43" s="78" t="n">
        <ns0:v>-0.116262238115258</ns0:v>
      </ns0:c>
      <ns0:c r="F43" s="78" t="n">
        <ns0:v>-0.01206563669121185</ns0:v>
      </ns0:c>
      <ns0:c r="G43" s="78" t="n">
        <ns0:v>0.03919912335646492</ns0:v>
      </ns0:c>
      <ns0:c r="H43" s="78" t="n">
        <ns0:v>-0.066502094490599</ns0:v>
      </ns0:c>
      <ns0:c r="I43" s="78" t="n">
        <ns0:v>0.04029259780067568</ns0:v>
      </ns0:c>
      <ns0:c r="J43" s="78" t="n">
        <ns0:v>0.03667205566219932</ns0:v>
      </ns0:c>
      <ns0:c r="K43" s="78" t="n">
        <ns0:v>0.00167334056359479</ns0:v>
      </ns0:c>
      <ns0:c r="L43" s="78" t="n">
        <ns0:v>0.1010068675871965</ns0:v>
      </ns0:c>
      <ns0:c r="M43" s="78" t="n">
        <ns0:v>-0.0309876574620962</ns0:v>
      </ns0:c>
    </ns0:row>
    <ns0:row r="44" ht="30" customHeight="1">
      <ns0:c r="A44" s="73" t="inlineStr">
        <ns0:is>
          <ns0:t>گوشت</ns0:t>
        </ns0:is>
      </ns0:c>
      <ns0:c r="B44" s="78" t="n">
        <ns0:v>-0.003072074809627873</ns0:v>
      </ns0:c>
      <ns0:c r="C44" s="78" t="n">
        <ns0:v>0.02023979817024493</ns0:v>
      </ns0:c>
      <ns0:c r="D44" s="77" t="n">
        <ns0:v>-0.9320690314257898</ns0:v>
      </ns0:c>
      <ns0:c r="E44" s="78" t="n">
        <ns0:v>-0.01856671455921986</ns0:v>
      </ns0:c>
      <ns0:c r="F44" s="78" t="n">
        <ns0:v>-0.07477408945631524</ns0:v>
      </ns0:c>
      <ns0:c r="G44" s="78" t="n">
        <ns0:v>-0.005467470954163384</ns0:v>
      </ns0:c>
      <ns0:c r="H44" s="78" t="n">
        <ns0:v>-0.09768449114656921</ns0:v>
      </ns0:c>
      <ns0:c r="I44" s="78" t="n">
        <ns0:v>-0.02059889502401605</ns0:v>
      </ns0:c>
      <ns0:c r="J44" s="78" t="n">
        <ns0:v>-0.03902251539684355</ns0:v>
      </ns0:c>
      <ns0:c r="K44" s="78" t="n">
        <ns0:v>-0.004648371697744198</ns0:v>
      </ns0:c>
      <ns0:c r="L44" s="78" t="n">
        <ns0:v>-0.04792010033242626</ns0:v>
      </ns0:c>
      <ns0:c r="M44" s="78" t="n">
        <ns0:v>-0.04830533565746459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0.119154893147637</ns0:v>
      </ns0:c>
      <ns0:c r="C45" s="78" t="n">
        <ns0:v>-0.1867459223217237</ns0:v>
      </ns0:c>
      <ns0:c r="D45" s="78" t="n">
        <ns0:v>0.06400982740251468</ns0:v>
      </ns0:c>
      <ns0:c r="E45" s="77" t="n">
        <ns0:v>-0.7772497923370985</ns0:v>
      </ns0:c>
      <ns0:c r="F45" s="78" t="n">
        <ns0:v>-0.01385648287754749</ns0:v>
      </ns0:c>
      <ns0:c r="G45" s="78" t="n">
        <ns0:v>0.0380457308998618</ns0:v>
      </ns0:c>
      <ns0:c r="H45" s="78" t="n">
        <ns0:v>-0.156806190294516</ns0:v>
      </ns0:c>
      <ns0:c r="I45" s="78" t="n">
        <ns0:v>0.04748240707466811</ns0:v>
      </ns0:c>
      <ns0:c r="J45" s="78" t="n">
        <ns0:v>0.1127281447796045</ns0:v>
      </ns0:c>
      <ns0:c r="K45" s="78" t="n">
        <ns0:v>-0.05442605081269072</ns0:v>
      </ns0:c>
      <ns0:c r="L45" s="78" t="n">
        <ns0:v>0.1195218457701753</ns0:v>
      </ns0:c>
      <ns0:c r="M45" s="78" t="n">
        <ns0:v>-0.1220647704706643</ns0:v>
      </ns0:c>
    </ns0:row>
    <ns0:row r="46" ht="30" customHeight="1">
      <ns0:c r="A46" s="73" t="inlineStr">
        <ns0:is>
          <ns0:t>روغن و چربی</ns0:t>
        </ns0:is>
      </ns0:c>
      <ns0:c r="B46" s="78" t="n">
        <ns0:v>0.02026301094607752</ns0:v>
      </ns0:c>
      <ns0:c r="C46" s="78" t="n">
        <ns0:v>-0.099332544484004</ns0:v>
      </ns0:c>
      <ns0:c r="D46" s="78" t="n">
        <ns0:v>-0.2106689873676318</ns0:v>
      </ns0:c>
      <ns0:c r="E46" s="78" t="n">
        <ns0:v>0.05759712695893836</ns0:v>
      </ns0:c>
      <ns0:c r="F46" s="77" t="n">
        <ns0:v>-0.4392035517831331</ns0:v>
      </ns0:c>
      <ns0:c r="G46" s="78" t="n">
        <ns0:v>-0.050787168105469</ns0:v>
      </ns0:c>
      <ns0:c r="H46" s="78" t="n">
        <ns0:v>-0.1055462070109641</ns0:v>
      </ns0:c>
      <ns0:c r="I46" s="78" t="n">
        <ns0:v>-0.1141411178662631</ns0:v>
      </ns0:c>
      <ns0:c r="J46" s="78" t="n">
        <ns0:v>0.03251551182315105</ns0:v>
      </ns0:c>
      <ns0:c r="K46" s="78" t="n">
        <ns0:v>-0.01299810084997051</ns0:v>
      </ns0:c>
      <ns0:c r="L46" s="78" t="n">
        <ns0:v>-0.0896269540489396</ns0:v>
      </ns0:c>
      <ns0:c r="M46" s="78" t="n">
        <ns0:v>-0.02524893128205299</ns0:v>
      </ns0:c>
    </ns0:row>
    <ns0:row r="47" ht="30" customHeight="1">
      <ns0:c r="A47" s="73" t="inlineStr">
        <ns0:is>
          <ns0:t>میوه</ns0:t>
        </ns0:is>
      </ns0:c>
      <ns0:c r="B47" s="78" t="n">
        <ns0:v>-0.153611790293193</ns0:v>
      </ns0:c>
      <ns0:c r="C47" s="78" t="n">
        <ns0:v>-0.009407168803087312</ns0:v>
      </ns0:c>
      <ns0:c r="D47" s="78" t="n">
        <ns0:v>-0.007926292265652767</ns0:v>
      </ns0:c>
      <ns0:c r="E47" s="78" t="n">
        <ns0:v>0.04365207942477733</ns0:v>
      </ns0:c>
      <ns0:c r="F47" s="78" t="n">
        <ns0:v>-0.09175919241815042</ns0:v>
      </ns0:c>
      <ns0:c r="G47" s="77" t="n">
        <ns0:v>-1.063651255195189</ns0:v>
      </ns0:c>
      <ns0:c r="H47" s="78" t="n">
        <ns0:v>0.1063348226898197</ns0:v>
      </ns0:c>
      <ns0:c r="I47" s="78" t="n">
        <ns0:v>-0.04865960608330978</ns0:v>
      </ns0:c>
      <ns0:c r="J47" s="78" t="n">
        <ns0:v>-0.1883940670549168</ns0:v>
      </ns0:c>
      <ns0:c r="K47" s="78" t="n">
        <ns0:v>0.04569276008492676</ns0:v>
      </ns0:c>
      <ns0:c r="L47" s="78" t="n">
        <ns0:v>-0.02770260833273065</ns0:v>
      </ns0:c>
      <ns0:c r="M47" s="78" t="n">
        <ns0:v>0.023412909642541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-0.007597720229902428</ns0:v>
      </ns0:c>
      <ns0:c r="C48" s="78" t="n">
        <ns0:v>-0.1093916522650866</ns0:v>
      </ns0:c>
      <ns0:c r="D48" s="78" t="n">
        <ns0:v>-0.05027982444883514</ns0:v>
      </ns0:c>
      <ns0:c r="E48" s="78" t="n">
        <ns0:v>-0.122321004891636</ns0:v>
      </ns0:c>
      <ns0:c r="F48" s="78" t="n">
        <ns0:v>-0.003416545348038895</ns0:v>
      </ns0:c>
      <ns0:c r="G48" s="78" t="n">
        <ns0:v>0.04798156833145908</ns0:v>
      </ns0:c>
      <ns0:c r="H48" s="77" t="n">
        <ns0:v>-0.4906341025860119</ns0:v>
      </ns0:c>
      <ns0:c r="I48" s="78" t="n">
        <ns0:v>0.00253240159450648</ns0:v>
      </ns0:c>
      <ns0:c r="J48" s="78" t="n">
        <ns0:v>0.007844861124922976</ns0:v>
      </ns0:c>
      <ns0:c r="K48" s="78" t="n">
        <ns0:v>-0.05882860961342805</ns0:v>
      </ns0:c>
      <ns0:c r="L48" s="78" t="n">
        <ns0:v>0.05749178888716924</ns0:v>
      </ns0:c>
      <ns0:c r="M48" s="78" t="n">
        <ns0:v>-0.01881674177062169</ns0:v>
      </ns0:c>
    </ns0:row>
    <ns0:row r="49" ht="30" customHeight="1">
      <ns0:c r="A49" s="73" t="inlineStr">
        <ns0:is>
          <ns0:t>حبوبات</ns0:t>
        </ns0:is>
      </ns0:c>
      <ns0:c r="B49" s="78" t="n">
        <ns0:v>-0.08035728134669871</ns0:v>
      </ns0:c>
      <ns0:c r="C49" s="78" t="n">
        <ns0:v>-0.01097795153571519</ns0:v>
      </ns0:c>
      <ns0:c r="D49" s="78" t="n">
        <ns0:v>-0.01253685716162543</ns0:v>
      </ns0:c>
      <ns0:c r="E49" s="78" t="n">
        <ns0:v>0.2206568923725616</ns0:v>
      </ns0:c>
      <ns0:c r="F49" s="78" t="n">
        <ns0:v>-0.1208067608497311</ns0:v>
      </ns0:c>
      <ns0:c r="G49" s="78" t="n">
        <ns0:v>-0.07074398181910246</ns0:v>
      </ns0:c>
      <ns0:c r="H49" s="78" t="n">
        <ns0:v>-0.1505330791037847</ns0:v>
      </ns0:c>
      <ns0:c r="I49" s="77" t="n">
        <ns0:v>-0.6986454876523367</ns0:v>
      </ns0:c>
      <ns0:c r="J49" s="78" t="n">
        <ns0:v>-0.1208250867117573</ns0:v>
      </ns0:c>
      <ns0:c r="K49" s="78" t="n">
        <ns0:v>-0.181570173916658</ns0:v>
      </ns0:c>
      <ns0:c r="L49" s="78" t="n">
        <ns0:v>0.01682103194058924</ns0:v>
      </ns0:c>
      <ns0:c r="M49" s="78" t="n">
        <ns0:v>-0.006532760815915516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-0.1520499609353664</ns0:v>
      </ns0:c>
      <ns0:c r="C50" s="78" t="n">
        <ns0:v>0.001318667275130838</ns0:v>
      </ns0:c>
      <ns0:c r="D50" s="78" t="n">
        <ns0:v>-0.3070843066651892</ns0:v>
      </ns0:c>
      <ns0:c r="E50" s="78" t="n">
        <ns0:v>0.1933382711351827</ns0:v>
      </ns0:c>
      <ns0:c r="F50" s="78" t="n">
        <ns0:v>0.01973388469388672</ns0:v>
      </ns0:c>
      <ns0:c r="G50" s="78" t="n">
        <ns0:v>-0.2214566639707894</ns0:v>
      </ns0:c>
      <ns0:c r="H50" s="78" t="n">
        <ns0:v>-0.1128231055505747</ns0:v>
      </ns0:c>
      <ns0:c r="I50" s="78" t="n">
        <ns0:v>-0.1258804906992971</ns0:v>
      </ns0:c>
      <ns0:c r="J50" s="77" t="n">
        <ns0:v>-0.9901748700242765</ns0:v>
      </ns0:c>
      <ns0:c r="K50" s="78" t="n">
        <ns0:v>-0.08906506449133261</ns0:v>
      </ns0:c>
      <ns0:c r="L50" s="78" t="n">
        <ns0:v>-0.1811126793069966</ns0:v>
      </ns0:c>
      <ns0:c r="M50" s="78" t="n">
        <ns0:v>0.05854391846599419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-0.1076194349079695</ns0:v>
      </ns0:c>
      <ns0:c r="C51" s="78" t="n">
        <ns0:v>-0.06070342905219919</ns0:v>
      </ns0:c>
      <ns0:c r="D51" s="78" t="n">
        <ns0:v>0.004907178944675226</ns0:v>
      </ns0:c>
      <ns0:c r="E51" s="78" t="n">
        <ns0:v>-0.1052484994418322</ns0:v>
      </ns0:c>
      <ns0:c r="F51" s="78" t="n">
        <ns0:v>-0.005164967900619424</ns0:v>
      </ns0:c>
      <ns0:c r="G51" s="78" t="n">
        <ns0:v>0.04812529150886584</ns0:v>
      </ns0:c>
      <ns0:c r="H51" s="78" t="n">
        <ns0:v>-0.106687240136955</ns0:v>
      </ns0:c>
      <ns0:c r="I51" s="78" t="n">
        <ns0:v>-0.03557131710519101</ns0:v>
      </ns0:c>
      <ns0:c r="J51" s="78" t="n">
        <ns0:v>-0.03364773342024886</ns0:v>
      </ns0:c>
      <ns0:c r="K51" s="77" t="n">
        <ns0:v>-0.5520671032324241</ns0:v>
      </ns0:c>
      <ns0:c r="L51" s="78" t="n">
        <ns0:v>-0.06151228406499695</ns0:v>
      </ns0:c>
      <ns0:c r="M51" s="78" t="n">
        <ns0:v>-0.005625179772818827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-0.243063031742671</ns0:v>
      </ns0:c>
      <ns0:c r="C52" s="78" t="n">
        <ns0:v>0.135256601463887</ns0:v>
      </ns0:c>
      <ns0:c r="D52" s="78" t="n">
        <ns0:v>-0.09548144890294279</ns0:v>
      </ns0:c>
      <ns0:c r="E52" s="78" t="n">
        <ns0:v>0.2294652511446254</ns0:v>
      </ns0:c>
      <ns0:c r="F52" s="78" t="n">
        <ns0:v>-0.09977499915538378</ns0:v>
      </ns0:c>
      <ns0:c r="G52" s="78" t="n">
        <ns0:v>-0.03537058032027495</ns0:v>
      </ns0:c>
      <ns0:c r="H52" s="78" t="n">
        <ns0:v>0.1311182518120788</ns0:v>
      </ns0:c>
      <ns0:c r="I52" s="78" t="n">
        <ns0:v>0.06460316098364122</ns0:v>
      </ns0:c>
      <ns0:c r="J52" s="78" t="n">
        <ns0:v>-0.1149436041793782</ns0:v>
      </ns0:c>
      <ns0:c r="K52" s="78" t="n">
        <ns0:v>-0.200973838315215</ns0:v>
      </ns0:c>
      <ns0:c r="L52" s="77" t="n">
        <ns0:v>-0.8933129659679889</ns0:v>
      </ns0:c>
      <ns0:c r="M52" s="78" t="n">
        <ns0:v>0.07637611473535284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0.206560325986176</ns0:v>
      </ns0:c>
      <ns0:c r="C53" s="78" t="n">
        <ns0:v>-0.1055481907329302</ns0:v>
      </ns0:c>
      <ns0:c r="D53" s="78" t="n">
        <ns0:v>-0.1277658191022895</ns0:v>
      </ns0:c>
      <ns0:c r="E53" s="78" t="n">
        <ns0:v>-0.2729137256056788</ns0:v>
      </ns0:c>
      <ns0:c r="F53" s="78" t="n">
        <ns0:v>-0.04658610178514642</ns0:v>
      </ns0:c>
      <ns0:c r="G53" s="78" t="n">
        <ns0:v>0.05481302331869192</ns0:v>
      </ns0:c>
      <ns0:c r="H53" s="78" t="n">
        <ns0:v>-0.08122196116465109</ns0:v>
      </ns0:c>
      <ns0:c r="I53" s="78" t="n">
        <ns0:v>-0.02563412676606693</ns0:v>
      </ns0:c>
      <ns0:c r="J53" s="78" t="n">
        <ns0:v>0.1574095097804695</ns0:v>
      </ns0:c>
      <ns0:c r="K53" s="78" t="n">
        <ns0:v>-0.0268034221373556</ns0:v>
      </ns0:c>
      <ns0:c r="L53" s="78" t="n">
        <ns0:v>0.01737891942511941</ns0:v>
      </ns0:c>
      <ns0:c r="M53" s="77" t="n">
        <ns0:v>-0.5023438920385096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سال 1399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-1.081</ns0:v>
      </ns0:c>
      <ns0:c r="C6" s="69" t="n">
        <ns0:v>-1.0798</ns0:v>
      </ns0:c>
      <ns0:c r="D6" s="70" t="n">
        <ns0:v>1.5639</ns0:v>
      </ns0:c>
      <ns0:c r="E6" s="69" t="n">
        <ns0:v>1.6179</ns0:v>
      </ns0:c>
    </ns0:row>
    <ns0:row r="7" ht="23" customHeight="1">
      <ns0:c r="A7" s="28" t="inlineStr">
        <ns0:is>
          <ns0:t>نان و غلات</ns0:t>
        </ns0:is>
      </ns0:c>
      <ns0:c r="B7" s="68" t="n">
        <ns0:v>-0.6591</ns0:v>
      </ns0:c>
      <ns0:c r="C7" s="69" t="n">
        <ns0:v>-0.6268</ns0:v>
      </ns0:c>
      <ns0:c r="D7" s="70" t="n">
        <ns0:v>0.3793</ns0:v>
      </ns0:c>
      <ns0:c r="E7" s="69" t="n">
        <ns0:v>0.271</ns0:v>
      </ns0:c>
    </ns0:row>
    <ns0:row r="8" ht="23" customHeight="1">
      <ns0:c r="A8" s="28" t="inlineStr">
        <ns0:is>
          <ns0:t>گوشت</ns0:t>
        </ns0:is>
      </ns0:c>
      <ns0:c r="B8" s="68" t="n">
        <ns0:v>-0.9304</ns0:v>
      </ns0:c>
      <ns0:c r="C8" s="69" t="n">
        <ns0:v>-0.9408</ns0:v>
      </ns0:c>
      <ns0:c r="D8" s="70" t="n">
        <ns0:v>1.2368</ns0:v>
      </ns0:c>
      <ns0:c r="E8" s="69" t="n">
        <ns0:v>1.2577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-0.7969000000000001</ns0:v>
      </ns0:c>
      <ns0:c r="C9" s="69" t="n">
        <ns0:v>-0.7912</ns0:v>
      </ns0:c>
      <ns0:c r="D9" s="70" t="n">
        <ns0:v>0.8502999999999999</ns0:v>
      </ns0:c>
      <ns0:c r="E9" s="69" t="n">
        <ns0:v>0.8264</ns0:v>
      </ns0:c>
    </ns0:row>
    <ns0:row r="10" ht="23" customHeight="1">
      <ns0:c r="A10" s="28" t="inlineStr">
        <ns0:is>
          <ns0:t>روغن و چربی</ns0:t>
        </ns0:is>
      </ns0:c>
      <ns0:c r="B10" s="68" t="n">
        <ns0:v>-0.4235</ns0:v>
      </ns0:c>
      <ns0:c r="C10" s="69" t="n">
        <ns0:v>-0.4166</ns0:v>
      </ns0:c>
      <ns0:c r="D10" s="70" t="n">
        <ns0:v>0.6850000000000001</ns0:v>
      </ns0:c>
      <ns0:c r="E10" s="69" t="n">
        <ns0:v>1.0236</ns0:v>
      </ns0:c>
    </ns0:row>
    <ns0:row r="11" ht="23" customHeight="1">
      <ns0:c r="A11" s="28" t="inlineStr">
        <ns0:is>
          <ns0:t>میوه</ns0:t>
        </ns0:is>
      </ns0:c>
      <ns0:c r="B11" s="68" t="n">
        <ns0:v>-1.1068</ns0:v>
      </ns0:c>
      <ns0:c r="C11" s="69" t="n">
        <ns0:v>-1.101</ns0:v>
      </ns0:c>
      <ns0:c r="D11" s="70" t="n">
        <ns0:v>1.4387</ns0:v>
      </ns0:c>
      <ns0:c r="E11" s="69" t="n">
        <ns0:v>1.4455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-0.4596</ns0:v>
      </ns0:c>
      <ns0:c r="C12" s="69" t="n">
        <ns0:v>-0.4489</ns0:v>
      </ns0:c>
      <ns0:c r="D12" s="70" t="n">
        <ns0:v>0.7577</ns0:v>
      </ns0:c>
      <ns0:c r="E12" s="69" t="n">
        <ns0:v>0.6943</ns0:v>
      </ns0:c>
    </ns0:row>
    <ns0:row r="13" ht="23" customHeight="1">
      <ns0:c r="A13" s="28" t="inlineStr">
        <ns0:is>
          <ns0:t>حبوبات</ns0:t>
        </ns0:is>
      </ns0:c>
      <ns0:c r="B13" s="68" t="n">
        <ns0:v>-0.7137</ns0:v>
      </ns0:c>
      <ns0:c r="C13" s="69" t="n">
        <ns0:v>-0.7372</ns0:v>
      </ns0:c>
      <ns0:c r="D13" s="70" t="n">
        <ns0:v>1.0215</ns0:v>
      </ns0:c>
      <ns0:c r="E13" s="69" t="n">
        <ns0:v>1.2765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-0.9266</ns0:v>
      </ns0:c>
      <ns0:c r="C14" s="69" t="n">
        <ns0:v>-0.9497</ns0:v>
      </ns0:c>
      <ns0:c r="D14" s="70" t="n">
        <ns0:v>2.3122</ns0:v>
      </ns0:c>
      <ns0:c r="E14" s="69" t="n">
        <ns0:v>1.6512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-0.5537</ns0:v>
      </ns0:c>
      <ns0:c r="C15" s="69" t="n">
        <ns0:v>-0.5498</ns0:v>
      </ns0:c>
      <ns0:c r="D15" s="70" t="n">
        <ns0:v>1.0269</ns0:v>
      </ns0:c>
      <ns0:c r="E15" s="69" t="n">
        <ns0:v>0.9939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-0.892</ns0:v>
      </ns0:c>
      <ns0:c r="C16" s="69" t="n">
        <ns0:v>-0.9026999999999999</ns0:v>
      </ns0:c>
      <ns0:c r="D16" s="70" t="n">
        <ns0:v>0.9832</ns0:v>
      </ns0:c>
      <ns0:c r="E16" s="69" t="n">
        <ns0:v>1.1776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-0.4211</ns0:v>
      </ns0:c>
      <ns0:c r="C17" s="69" t="n">
        <ns0:v>-0.4197</ns0:v>
      </ns0:c>
      <ns0:c r="D17" s="70" t="n">
        <ns0:v>0.8522999999999999</ns0:v>
      </ns0:c>
      <ns0:c r="E17" s="69" t="n">
        <ns0:v>0.6957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-1.080986259057762</ns0:v>
      </ns0:c>
      <ns0:c r="C26" s="75" t="n">
        <ns0:v>0.01365513366126905</ns0:v>
      </ns0:c>
      <ns0:c r="D26" s="75" t="n">
        <ns0:v>-0.1062781295211102</ns0:v>
      </ns0:c>
      <ns0:c r="E26" s="75" t="n">
        <ns0:v>0.02631346841306166</ns0:v>
      </ns0:c>
      <ns0:c r="F26" s="75" t="n">
        <ns0:v>-0.03188579778095026</ns0:v>
      </ns0:c>
      <ns0:c r="G26" s="75" t="n">
        <ns0:v>-0.08185289622405993</ns0:v>
      </ns0:c>
      <ns0:c r="H26" s="75" t="n">
        <ns0:v>-0.08985690053859433</ns0:v>
      </ns0:c>
      <ns0:c r="I26" s="75" t="n">
        <ns0:v>-0.03098288497645786</ns0:v>
      </ns0:c>
      <ns0:c r="J26" s="75" t="n">
        <ns0:v>-0.008664134570867588</ns0:v>
      </ns0:c>
      <ns0:c r="K26" s="75" t="n">
        <ns0:v>-0.09041031032326306</ns0:v>
      </ns0:c>
      <ns0:c r="L26" s="75" t="n">
        <ns0:v>-0.1265458010427852</ns0:v>
      </ns0:c>
      <ns0:c r="M26" s="75" t="n">
        <ns0:v>0.04875050053104767</ns0:v>
      </ns0:c>
    </ns0:row>
    <ns0:row r="27" ht="30" customHeight="1">
      <ns0:c r="A27" s="73" t="inlineStr">
        <ns0:is>
          <ns0:t>نان و غلات</ns0:t>
        </ns0:is>
      </ns0:c>
      <ns0:c r="B27" s="75" t="n">
        <ns0:v>0.1282393306870347</ns0:v>
      </ns0:c>
      <ns0:c r="C27" s="74" t="n">
        <ns0:v>-0.6591358682327384</ns0:v>
      </ns0:c>
      <ns0:c r="D27" s="75" t="n">
        <ns0:v>0.2379643924873724</ns0:v>
      </ns0:c>
      <ns0:c r="E27" s="75" t="n">
        <ns0:v>-0.1268924557135769</ns0:v>
      </ns0:c>
      <ns0:c r="F27" s="75" t="n">
        <ns0:v>0.002701245991868404</ns0:v>
      </ns0:c>
      <ns0:c r="G27" s="75" t="n">
        <ns0:v>0.03627370280700089</ns0:v>
      </ns0:c>
      <ns0:c r="H27" s="75" t="n">
        <ns0:v>-0.08831308364213995</ns0:v>
      </ns0:c>
      <ns0:c r="I27" s="75" t="n">
        <ns0:v>0.04162590753667632</ns0:v>
      </ns0:c>
      <ns0:c r="J27" s="75" t="n">
        <ns0:v>0.02192421256029235</ns0:v>
      </ns0:c>
      <ns0:c r="K27" s="75" t="n">
        <ns0:v>-0.003086954742761262</ns0:v>
      </ns0:c>
      <ns0:c r="L27" s="75" t="n">
        <ns0:v>0.09484885722409274</ns0:v>
      </ns0:c>
      <ns0:c r="M27" s="75" t="n">
        <ns0:v>-0.04365394145779386</ns0:v>
      </ns0:c>
    </ns0:row>
    <ns0:row r="28" ht="30" customHeight="1">
      <ns0:c r="A28" s="73" t="inlineStr">
        <ns0:is>
          <ns0:t>گوشت</ns0:t>
        </ns0:is>
      </ns0:c>
      <ns0:c r="B28" s="75" t="n">
        <ns0:v>0.001508882654905254</ns0:v>
      </ns0:c>
      <ns0:c r="C28" s="75" t="n">
        <ns0:v>0.02077087410371561</ns0:v>
      </ns0:c>
      <ns0:c r="D28" s="74" t="n">
        <ns0:v>-0.9303994516801345</ns0:v>
      </ns0:c>
      <ns0:c r="E28" s="75" t="n">
        <ns0:v>-0.01507743261642629</ns0:v>
      </ns0:c>
      <ns0:c r="F28" s="75" t="n">
        <ns0:v>-0.07855460344925039</ns0:v>
      </ns0:c>
      <ns0:c r="G28" s="75" t="n">
        <ns0:v>-0.005944663012546799</ns0:v>
      </ns0:c>
      <ns0:c r="H28" s="75" t="n">
        <ns0:v>-0.08762918281033436</ns0:v>
      </ns0:c>
      <ns0:c r="I28" s="75" t="n">
        <ns0:v>-0.02086228709902965</ns0:v>
      </ns0:c>
      <ns0:c r="J28" s="75" t="n">
        <ns0:v>-0.034346941511306</ns0:v>
      </ns0:c>
      <ns0:c r="K28" s="75" t="n">
        <ns0:v>0.001455202788388745</ns0:v>
      </ns0:c>
      <ns0:c r="L28" s="75" t="n">
        <ns0:v>-0.0467077416234328</ns0:v>
      </ns0:c>
      <ns0:c r="M28" s="75" t="n">
        <ns0:v>-0.04233355379789653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0.1077931909037859</ns0:v>
      </ns0:c>
      <ns0:c r="C29" s="75" t="n">
        <ns0:v>-0.1800698591213944</ns0:v>
      </ns0:c>
      <ns0:c r="D29" s="75" t="n">
        <ns0:v>0.0617561881727217</ns0:v>
      </ns0:c>
      <ns0:c r="E29" s="74" t="n">
        <ns0:v>-0.7969447159826455</ns0:v>
      </ns0:c>
      <ns0:c r="F29" s="75" t="n">
        <ns0:v>0.001677466118422981</ns0:v>
      </ns0:c>
      <ns0:c r="G29" s="75" t="n">
        <ns0:v>0.03551034783725614</ns0:v>
      </ns0:c>
      <ns0:c r="H29" s="75" t="n">
        <ns0:v>-0.1521868745361597</ns0:v>
      </ns0:c>
      <ns0:c r="I29" s="75" t="n">
        <ns0:v>0.04481787963693633</ns0:v>
      </ns0:c>
      <ns0:c r="J29" s="75" t="n">
        <ns0:v>0.08580507955931811</ns0:v>
      </ns0:c>
      <ns0:c r="K29" s="75" t="n">
        <ns0:v>-0.04552482024976342</ns0:v>
      </ns0:c>
      <ns0:c r="L29" s="75" t="n">
        <ns0:v>0.1115150875653999</ns0:v>
      </ns0:c>
      <ns0:c r="M29" s="75" t="n">
        <ns0:v>-0.1187829513506973</ns0:v>
      </ns0:c>
    </ns0:row>
    <ns0:row r="30" ht="30" customHeight="1">
      <ns0:c r="A30" s="73" t="inlineStr">
        <ns0:is>
          <ns0:t>روغن و چربی</ns0:t>
        </ns0:is>
      </ns0:c>
      <ns0:c r="B30" s="75" t="n">
        <ns0:v>0.02728957857369095</ns0:v>
      </ns0:c>
      <ns0:c r="C30" s="75" t="n">
        <ns0:v>-0.02941251129929956</ns0:v>
      </ns0:c>
      <ns0:c r="D30" s="75" t="n">
        <ns0:v>-0.1776081762127731</ns0:v>
      </ns0:c>
      <ns0:c r="E30" s="75" t="n">
        <ns0:v>0.1310846059708249</ns0:v>
      </ns0:c>
      <ns0:c r="F30" s="74" t="n">
        <ns0:v>-0.4235253645095822</ns0:v>
      </ns0:c>
      <ns0:c r="G30" s="75" t="n">
        <ns0:v>-0.03809093791631284</ns0:v>
      </ns0:c>
      <ns0:c r="H30" s="75" t="n">
        <ns0:v>-0.06119944699886323</ns0:v>
      </ns0:c>
      <ns0:c r="I30" s="75" t="n">
        <ns0:v>-0.1005856576855455</ns0:v>
      </ns0:c>
      <ns0:c r="J30" s="75" t="n">
        <ns0:v>0.05812461932344731</ns0:v>
      </ns0:c>
      <ns0:c r="K30" s="75" t="n">
        <ns0:v>-0.009442847510140994</ns0:v>
      </ns0:c>
      <ns0:c r="L30" s="75" t="n">
        <ns0:v>-0.07643651694491573</ns0:v>
      </ns0:c>
      <ns0:c r="M30" s="75" t="n">
        <ns0:v>-0.00966989087388105</ns0:v>
      </ns0:c>
    </ns0:row>
    <ns0:row r="31" ht="30" customHeight="1">
      <ns0:c r="A31" s="73" t="inlineStr">
        <ns0:is>
          <ns0:t>میوه</ns0:t>
        </ns0:is>
      </ns0:c>
      <ns0:c r="B31" s="75" t="n">
        <ns0:v>-0.1599626740907528</ns0:v>
      </ns0:c>
      <ns0:c r="C31" s="75" t="n">
        <ns0:v>-0.01148590008560271</ns0:v>
      </ns0:c>
      <ns0:c r="D31" s="75" t="n">
        <ns0:v>-0.02395905165824568</ns0:v>
      </ns0:c>
      <ns0:c r="E31" s="75" t="n">
        <ns0:v>0.04149351408009334</ns0:v>
      </ns0:c>
      <ns0:c r="F31" s="75" t="n">
        <ns0:v>-0.1007725627856613</ns0:v>
      </ns0:c>
      <ns0:c r="G31" s="74" t="n">
        <ns0:v>-1.106751726200047</ns0:v>
      </ns0:c>
      <ns0:c r="H31" s="75" t="n">
        <ns0:v>0.1236898033963212</ns0:v>
      </ns0:c>
      <ns0:c r="I31" s="75" t="n">
        <ns0:v>-0.05966582175220592</ns0:v>
      </ns0:c>
      <ns0:c r="J31" s="75" t="n">
        <ns0:v>-0.1918396229734211</ns0:v>
      </ns0:c>
      <ns0:c r="K31" s="75" t="n">
        <ns0:v>0.0409736766142686</ns0:v>
      </ns0:c>
      <ns0:c r="L31" s="75" t="n">
        <ns0:v>-0.02937087064601827</ns0:v>
      </ns0:c>
      <ns0:c r="M31" s="75" t="n">
        <ns0:v>0.02273803122904062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-0.01049337236916505</ns0:v>
      </ns0:c>
      <ns0:c r="C32" s="75" t="n">
        <ns0:v>-0.1274481159074261</ns0:v>
      </ns0:c>
      <ns0:c r="D32" s="75" t="n">
        <ns0:v>-0.06915292722646875</ns0:v>
      </ns0:c>
      <ns0:c r="E32" s="75" t="n">
        <ns0:v>-0.1425190995354165</ns0:v>
      </ns0:c>
      <ns0:c r="F32" s="75" t="n">
        <ns0:v>-0.003698715942602678</ns0:v>
      </ns0:c>
      <ns0:c r="G32" s="75" t="n">
        <ns0:v>0.05122284830051776</ns0:v>
      </ns0:c>
      <ns0:c r="H32" s="74" t="n">
        <ns0:v>-0.4596373395959573</ns0:v>
      </ns0:c>
      <ns0:c r="I32" s="75" t="n">
        <ns0:v>0.001279931199684566</ns0:v>
      </ns0:c>
      <ns0:c r="J32" s="75" t="n">
        <ns0:v>0.009872304417288433</ns0:v>
      </ns0:c>
      <ns0:c r="K32" s="75" t="n">
        <ns0:v>-0.07223634408362868</ns0:v>
      </ns0:c>
      <ns0:c r="L32" s="75" t="n">
        <ns0:v>0.0617428655236241</ns0:v>
      </ns0:c>
      <ns0:c r="M32" s="75" t="n">
        <ns0:v>-0.02424206287603774</ns0:v>
      </ns0:c>
    </ns0:row>
    <ns0:row r="33" ht="30" customHeight="1">
      <ns0:c r="A33" s="73" t="inlineStr">
        <ns0:is>
          <ns0:t>حبوبات</ns0:t>
        </ns0:is>
      </ns0:c>
      <ns0:c r="B33" s="75" t="n">
        <ns0:v>-0.06367866697549975</ns0:v>
      </ns0:c>
      <ns0:c r="C33" s="75" t="n">
        <ns0:v>0.02021224438008095</ns0:v>
      </ns0:c>
      <ns0:c r="D33" s="75" t="n">
        <ns0:v>0.04372462209013417</ns0:v>
      </ns0:c>
      <ns0:c r="E33" s="75" t="n">
        <ns0:v>0.2449960922283551</ns0:v>
      </ns0:c>
      <ns0:c r="F33" s="75" t="n">
        <ns0:v>-0.098557681053665</ns0:v>
      </ns0:c>
      <ns0:c r="G33" s="75" t="n">
        <ns0:v>-0.05608517699734518</ns0:v>
      </ns0:c>
      <ns0:c r="H33" s="75" t="n">
        <ns0:v>-0.122291585284376</ns0:v>
      </ns0:c>
      <ns0:c r="I33" s="74" t="n">
        <ns0:v>-0.7137277077272047</ns0:v>
      </ns0:c>
      <ns0:c r="J33" s="75" t="n">
        <ns0:v>-0.1166956146027717</ns0:v>
      </ns0:c>
      <ns0:c r="K33" s="75" t="n">
        <ns0:v>-0.1645431350960133</ns0:v>
      </ns0:c>
      <ns0:c r="L33" s="75" t="n">
        <ns0:v>0.03014941586658396</ns0:v>
      </ns0:c>
      <ns0:c r="M33" s="75" t="n">
        <ns0:v>0.005359266563011366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-0.1709080632032653</ns0:v>
      </ns0:c>
      <ns0:c r="C34" s="75" t="n">
        <ns0:v>-0.08535514715598529</ns0:v>
      </ns0:c>
      <ns0:c r="D34" s="75" t="n">
        <ns0:v>-0.4731240807111645</ns0:v>
      </ns0:c>
      <ns0:c r="E34" s="75" t="n">
        <ns0:v>0.1132825956710929</ns0:v>
      </ns0:c>
      <ns0:c r="F34" s="75" t="n">
        <ns0:v>0.005522510117124382</ns0:v>
      </ns0:c>
      <ns0:c r="G34" s="75" t="n">
        <ns0:v>-0.2714878253610378</ns0:v>
      </ns0:c>
      <ns0:c r="H34" s="75" t="n">
        <ns0:v>-0.1549985333874467</ns0:v>
      </ns0:c>
      <ns0:c r="I34" s="75" t="n">
        <ns0:v>-0.193476978161106</ns0:v>
      </ns0:c>
      <ns0:c r="J34" s="74" t="n">
        <ns0:v>-0.9265657882522484</ns0:v>
      </ns0:c>
      <ns0:c r="K34" s="75" t="n">
        <ns0:v>-0.1321294897267084</ns0:v>
      </ns0:c>
      <ns0:c r="L34" s="75" t="n">
        <ns0:v>-0.2201005193115382</ns0:v>
      </ns0:c>
      <ns0:c r="M34" s="75" t="n">
        <ns0:v>0.09376005627189531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-0.1216011289066778</ns0:v>
      </ns0:c>
      <ns0:c r="C35" s="75" t="n">
        <ns0:v>-0.06068512678505135</ns0:v>
      </ns0:c>
      <ns0:c r="D35" s="75" t="n">
        <ns0:v>0.002605825071112896</ns0:v>
      </ns0:c>
      <ns0:c r="E35" s="75" t="n">
        <ns0:v>-0.1111506476541484</ns0:v>
      </ns0:c>
      <ns0:c r="F35" s="75" t="n">
        <ns0:v>-0.01722599077372097</ns0:v>
      </ns0:c>
      <ns0:c r="G35" s="75" t="n">
        <ns0:v>0.04629191029319521</ns0:v>
      </ns0:c>
      <ns0:c r="H35" s="75" t="n">
        <ns0:v>-0.1076834561619129</ns0:v>
      </ns0:c>
      <ns0:c r="I35" s="75" t="n">
        <ns0:v>-0.04287657274271902</ns0:v>
      </ns0:c>
      <ns0:c r="J35" s="75" t="n">
        <ns0:v>-0.02109430526724213</ns0:v>
      </ns0:c>
      <ns0:c r="K35" s="74" t="n">
        <ns0:v>-0.5537455473424551</ns0:v>
      </ns0:c>
      <ns0:c r="L35" s="75" t="n">
        <ns0:v>-0.06027909707883247</ns0:v>
      </ns0:c>
      <ns0:c r="M35" s="75" t="n">
        <ns0:v>-0.002317205611644558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-0.225731279748074</ns0:v>
      </ns0:c>
      <ns0:c r="C36" s="75" t="n">
        <ns0:v>0.1572258335815492</ns0:v>
      </ns0:c>
      <ns0:c r="D36" s="75" t="n">
        <ns0:v>-0.05850747470657314</ns0:v>
      </ns0:c>
      <ns0:c r="E36" s="75" t="n">
        <ns0:v>0.2639507409302024</ns0:v>
      </ns0:c>
      <ns0:c r="F36" s="75" t="n">
        <ns0:v>-0.09463884233123666</ns0:v>
      </ns0:c>
      <ns0:c r="G36" s="75" t="n">
        <ns0:v>-0.02887579487305108</ns0:v>
      </ns0:c>
      <ns0:c r="H36" s="75" t="n">
        <ns0:v>0.1546709705344874</ns0:v>
      </ns0:c>
      <ns0:c r="I36" s="75" t="n">
        <ns0:v>0.08391515221981817</ns0:v>
      </ns0:c>
      <ns0:c r="J36" s="75" t="n">
        <ns0:v>-0.1284483597510018</ns0:v>
      </ns0:c>
      <ns0:c r="K36" s="75" t="n">
        <ns0:v>-0.1983910325601222</ns0:v>
      </ns0:c>
      <ns0:c r="L36" s="74" t="n">
        <ns0:v>-0.8920476951452764</ns0:v>
      </ns0:c>
      <ns0:c r="M36" s="75" t="n">
        <ns0:v>0.08868514285026091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0.2308139349644462</ns0:v>
      </ns0:c>
      <ns0:c r="C37" s="75" t="n">
        <ns0:v>-0.1470908320565673</ns0:v>
      </ns0:c>
      <ns0:c r="D37" s="75" t="n">
        <ns0:v>-0.1799232526974058</ns0:v>
      </ns0:c>
      <ns0:c r="E37" s="75" t="n">
        <ns0:v>-0.3507031517706994</ns0:v>
      </ns0:c>
      <ns0:c r="F37" s="75" t="n">
        <ns0:v>-0.05274203090622192</ns0:v>
      </ns0:c>
      <ns0:c r="G37" s="75" t="n">
        <ns0:v>0.05987945066189761</ns0:v>
      </ns0:c>
      <ns0:c r="H37" s="75" t="n">
        <ns0:v>-0.1152374570544786</ns0:v>
      </ns0:c>
      <ns0:c r="I37" s="75" t="n">
        <ns0:v>-0.03677879996563125</ns0:v>
      </ns0:c>
      <ns0:c r="J37" s="75" t="n">
        <ns0:v>0.1927517571312604</ns0:v>
      </ns0:c>
      <ns0:c r="K37" s="75" t="n">
        <ns0:v>-0.04556238174547297</ns0:v>
      </ns0:c>
      <ns0:c r="L37" s="75" t="n">
        <ns0:v>0.01912426238834511</ns0:v>
      </ns0:c>
      <ns0:c r="M37" s="74" t="n">
        <ns0:v>-0.4211473250267632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-1.07981499822019</ns0:v>
      </ns0:c>
      <ns0:c r="C42" s="78" t="n">
        <ns0:v>-0.001646811680332463</ns0:v>
      </ns0:c>
      <ns0:c r="D42" s="78" t="n">
        <ns0:v>-0.1216112627552782</ns0:v>
      </ns0:c>
      <ns0:c r="E42" s="78" t="n">
        <ns0:v>0.01826666643043161</ns0:v>
      </ns0:c>
      <ns0:c r="F42" s="78" t="n">
        <ns0:v>-0.02935453679949993</ns0:v>
      </ns0:c>
      <ns0:c r="G42" s="78" t="n">
        <ns0:v>-0.08401824207031107</ns0:v>
      </ns0:c>
      <ns0:c r="H42" s="78" t="n">
        <ns0:v>-0.09973701125303486</ns0:v>
      </ns0:c>
      <ns0:c r="I42" s="78" t="n">
        <ns0:v>-0.03257567329009544</ns0:v>
      </ns0:c>
      <ns0:c r="J42" s="78" t="n">
        <ns0:v>-0.006916632781609195</ns0:v>
      </ns0:c>
      <ns0:c r="K42" s="78" t="n">
        <ns0:v>-0.09060724203166787</ns0:v>
      </ns0:c>
      <ns0:c r="L42" s="78" t="n">
        <ns0:v>-0.1312314332607394</ns0:v>
      </ns0:c>
      <ns0:c r="M42" s="78" t="n">
        <ns0:v>0.04674565603395178</ns0:v>
      </ns0:c>
    </ns0:row>
    <ns0:row r="43" ht="30" customHeight="1">
      <ns0:c r="A43" s="73" t="inlineStr">
        <ns0:is>
          <ns0:t>نان و غلات</ns0:t>
        </ns0:is>
      </ns0:c>
      <ns0:c r="B43" s="78" t="n">
        <ns0:v>0.1236623131111775</ns0:v>
      </ns0:c>
      <ns0:c r="C43" s="77" t="n">
        <ns0:v>-0.6268276708223528</ns0:v>
      </ns0:c>
      <ns0:c r="D43" s="78" t="n">
        <ns0:v>0.260099115235239</ns0:v>
      </ns0:c>
      <ns0:c r="E43" s="78" t="n">
        <ns0:v>-0.1072218970036778</ns0:v>
      </ns0:c>
      <ns0:c r="F43" s="78" t="n">
        <ns0:v>-0.01279722411852035</ns0:v>
      </ns0:c>
      <ns0:c r="G43" s="78" t="n">
        <ns0:v>0.0382382308970444</ns0:v>
      </ns0:c>
      <ns0:c r="H43" s="78" t="n">
        <ns0:v>-0.07148175119719515</ns0:v>
      </ns0:c>
      <ns0:c r="I43" s="78" t="n">
        <ns0:v>0.04553668182786512</ns0:v>
      </ns0:c>
      <ns0:c r="J43" s="78" t="n">
        <ns0:v>0.03285164992285801</ns0:v>
      </ns0:c>
      <ns0:c r="K43" s="78" t="n">
        <ns0:v>0.001509757980251708</ns0:v>
      </ns0:c>
      <ns0:c r="L43" s="78" t="n">
        <ns0:v>0.1016519939082493</ns0:v>
      </ns0:c>
      <ns0:c r="M43" s="78" t="n">
        <ns0:v>-0.03533034006898881</ns0:v>
      </ns0:c>
    </ns0:row>
    <ns0:row r="44" ht="30" customHeight="1">
      <ns0:c r="A44" s="73" t="inlineStr">
        <ns0:is>
          <ns0:t>گوشت</ns0:t>
        </ns0:is>
      </ns0:c>
      <ns0:c r="B44" s="78" t="n">
        <ns0:v>-0.001448754118725954</ns0:v>
      </ns0:c>
      <ns0:c r="C44" s="78" t="n">
        <ns0:v>0.0172465909086234</ns0:v>
      </ns0:c>
      <ns0:c r="D44" s="77" t="n">
        <ns0:v>-0.9408291584415174</ns0:v>
      </ns0:c>
      <ns0:c r="E44" s="78" t="n">
        <ns0:v>-0.02027006921571789</ns0:v>
      </ns0:c>
      <ns0:c r="F44" s="78" t="n">
        <ns0:v>-0.06973192158109109</ns0:v>
      </ns0:c>
      <ns0:c r="G44" s="78" t="n">
        <ns0:v>-0.004920228839179896</ns0:v>
      </ns0:c>
      <ns0:c r="H44" s="78" t="n">
        <ns0:v>-0.08972624662941081</ns0:v>
      </ns0:c>
      <ns0:c r="I44" s="78" t="n">
        <ns0:v>-0.02115761164718501</ns0:v>
      </ns0:c>
      <ns0:c r="J44" s="78" t="n">
        <ns0:v>-0.03526487403918094</ns0:v>
      </ns0:c>
      <ns0:c r="K44" s="78" t="n">
        <ns0:v>-0.003999747298433274</ns0:v>
      </ns0:c>
      <ns0:c r="L44" s="78" t="n">
        <ns0:v>-0.04531009134363014</ns0:v>
      </ns0:c>
      <ns0:c r="M44" s="78" t="n">
        <ns0:v>-0.0434475387494302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0.1091562244657594</ns0:v>
      </ns0:c>
      <ns0:c r="C45" s="78" t="n">
        <ns0:v>-0.171279831231664</ns0:v>
      </ns0:c>
      <ns0:c r="D45" s="78" t="n">
        <ns0:v>0.06201140285051823</ns0:v>
      </ns0:c>
      <ns0:c r="E45" s="77" t="n">
        <ns0:v>-0.791169951906046</ns0:v>
      </ns0:c>
      <ns0:c r="F45" s="78" t="n">
        <ns0:v>-0.01315854473661083</ns0:v>
      </ns0:c>
      <ns0:c r="G45" s="78" t="n">
        <ns0:v>0.03526117484668075</ns0:v>
      </ns0:c>
      <ns0:c r="H45" s="78" t="n">
        <ns0:v>-0.1460138673049567</ns0:v>
      </ns0:c>
      <ns0:c r="I45" s="78" t="n">
        <ns0:v>0.04487876234027288</ns0:v>
      </ns0:c>
      <ns0:c r="J45" s="78" t="n">
        <ns0:v>0.1022622335610383</ns0:v>
      </ns0:c>
      <ns0:c r="K45" s="78" t="n">
        <ns0:v>-0.04985395664258917</ns0:v>
      </ns0:c>
      <ns0:c r="L45" s="78" t="n">
        <ns0:v>0.1104694221250542</ns0:v>
      </ns0:c>
      <ns0:c r="M45" s="78" t="n">
        <ns0:v>-0.1134188124820202</ns0:v>
      </ns0:c>
    </ns0:row>
    <ns0:row r="46" ht="30" customHeight="1">
      <ns0:c r="A46" s="73" t="inlineStr">
        <ns0:is>
          <ns0:t>روغن و چربی</ns0:t>
        </ns0:is>
      </ns0:c>
      <ns0:c r="B46" s="78" t="n">
        <ns0:v>0.01910677843020067</ns0:v>
      </ns0:c>
      <ns0:c r="C46" s="78" t="n">
        <ns0:v>-0.1046602999654988</ns0:v>
      </ns0:c>
      <ns0:c r="D46" s="78" t="n">
        <ns0:v>-0.2216889512246558</ns0:v>
      </ns0:c>
      <ns0:c r="E46" s="78" t="n">
        <ns0:v>0.06691025646773233</ns0:v>
      </ns0:c>
      <ns0:c r="F46" s="77" t="n">
        <ns0:v>-0.416625026584919</ns0:v>
      </ns0:c>
      <ns0:c r="G46" s="78" t="n">
        <ns0:v>-0.05466837619200495</ns0:v>
      </ns0:c>
      <ns0:c r="H46" s="78" t="n">
        <ns0:v>-0.1165866310120365</ns0:v>
      </ns0:c>
      <ns0:c r="I46" s="78" t="n">
        <ns0:v>-0.1222425806467577</ns0:v>
      </ns0:c>
      <ns0:c r="J46" s="78" t="n">
        <ns0:v>0.0338032610632638</ns0:v>
      </ns0:c>
      <ns0:c r="K46" s="78" t="n">
        <ns0:v>-0.01470017164677875</ns0:v>
      </ns0:c>
      <ns0:c r="L46" s="78" t="n">
        <ns0:v>-0.09402947391409949</ns0:v>
      </ns0:c>
      <ns0:c r="M46" s="78" t="n">
        <ns0:v>-0.02621921531930214</ns0:v>
      </ns0:c>
    </ns0:row>
    <ns0:row r="47" ht="30" customHeight="1">
      <ns0:c r="A47" s="73" t="inlineStr">
        <ns0:is>
          <ns0:t>میوه</ns0:t>
        </ns0:is>
      </ns0:c>
      <ns0:c r="B47" s="78" t="n">
        <ns0:v>-0.1595955325565907</ns0:v>
      </ns0:c>
      <ns0:c r="C47" s="78" t="n">
        <ns0:v>-0.01725116672901407</ns0:v>
      </ns0:c>
      <ns0:c r="D47" s="78" t="n">
        <ns0:v>-0.01697719780662166</ns0:v>
      </ns0:c>
      <ns0:c r="E47" s="78" t="n">
        <ns0:v>0.0406879763917296</ns0:v>
      </ns0:c>
      <ns0:c r="F47" s="78" t="n">
        <ns0:v>-0.1044111695310145</ns0:v>
      </ns0:c>
      <ns0:c r="G47" s="77" t="n">
        <ns0:v>-1.100998737719866</ns0:v>
      </ns0:c>
      <ns0:c r="H47" s="78" t="n">
        <ns0:v>0.1159823506434063</ns0:v>
      </ns0:c>
      <ns0:c r="I47" s="78" t="n">
        <ns0:v>-0.0595266140739239</ns0:v>
      </ns0:c>
      <ns0:c r="J47" s="78" t="n">
        <ns0:v>-0.1951155846281031</ns0:v>
      </ns0:c>
      <ns0:c r="K47" s="78" t="n">
        <ns0:v>0.03915282830804257</ns0:v>
      </ns0:c>
      <ns0:c r="L47" s="78" t="n">
        <ns0:v>-0.02782955232425978</ns0:v>
      </ns0:c>
      <ns0:c r="M47" s="78" t="n">
        <ns0:v>0.02021953448574879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-0.009901025340031179</ns0:v>
      </ns0:c>
      <ns0:c r="C48" s="78" t="n">
        <ns0:v>-0.1176595046185143</ns0:v>
      </ns0:c>
      <ns0:c r="D48" s="78" t="n">
        <ns0:v>-0.05273136738247484</ns0:v>
      </ns0:c>
      <ns0:c r="E48" s="78" t="n">
        <ns0:v>-0.1314269833641306</ns0:v>
      </ns0:c>
      <ns0:c r="F48" s="78" t="n">
        <ns0:v>-0.003968820139341484</ns0:v>
      </ns0:c>
      <ns0:c r="G48" s="78" t="n">
        <ns0:v>0.05229789489302639</ns0:v>
      </ns0:c>
      <ns0:c r="H48" s="77" t="n">
        <ns0:v>-0.448893223497712</ns0:v>
      </ns0:c>
      <ns0:c r="I48" s="78" t="n">
        <ns0:v>0.005005982054244375</ns0:v>
      </ns0:c>
      <ns0:c r="J48" s="78" t="n">
        <ns0:v>0.006567994727356015</ns0:v>
      </ns0:c>
      <ns0:c r="K48" s="78" t="n">
        <ns0:v>-0.06446058492762732</ns0:v>
      </ns0:c>
      <ns0:c r="L48" s="78" t="n">
        <ns0:v>0.06270675838632851</ns0:v>
      </ns0:c>
      <ns0:c r="M48" s="78" t="n">
        <ns0:v>-0.02082541611449403</ns0:v>
      </ns0:c>
    </ns0:row>
    <ns0:row r="49" ht="30" customHeight="1">
      <ns0:c r="A49" s="73" t="inlineStr">
        <ns0:is>
          <ns0:t>حبوبات</ns0:t>
        </ns0:is>
      </ns0:c>
      <ns0:c r="B49" s="78" t="n">
        <ns0:v>-0.07815234748237836</ns0:v>
      </ns0:c>
      <ns0:c r="C49" s="78" t="n">
        <ns0:v>-0.01711509961681305</ns0:v>
      </ns0:c>
      <ns0:c r="D49" s="78" t="n">
        <ns0:v>-0.0106336655987868</ns0:v>
      </ns0:c>
      <ns0:c r="E49" s="78" t="n">
        <ns0:v>0.2029822273907159</ns0:v>
      </ns0:c>
      <ns0:c r="F49" s="78" t="n">
        <ns0:v>-0.1097839472069835</ns0:v>
      </ns0:c>
      <ns0:c r="G49" s="78" t="n">
        <ns0:v>-0.06899961595154318</ns0:v>
      </ns0:c>
      <ns0:c r="H49" s="78" t="n">
        <ns0:v>-0.1473618450982855</ns0:v>
      </ns0:c>
      <ns0:c r="I49" s="77" t="n">
        <ns0:v>-0.7371672359091165</ns0:v>
      </ns0:c>
      <ns0:c r="J49" s="78" t="n">
        <ns0:v>-0.104384931001016</ns0:v>
      </ns0:c>
      <ns0:c r="K49" s="78" t="n">
        <ns0:v>-0.1726951310843879</ns0:v>
      </ns0:c>
      <ns0:c r="L49" s="78" t="n">
        <ns0:v>0.0123997278091712</ns0:v>
      </ns0:c>
      <ns0:c r="M49" s="78" t="n">
        <ns0:v>-0.003591496413285961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-0.122316412595902</ns0:v>
      </ns0:c>
      <ns0:c r="C50" s="78" t="n">
        <ns0:v>0.01337442564333989</ns0:v>
      </ns0:c>
      <ns0:c r="D50" s="78" t="n">
        <ns0:v>-0.3187436108594649</ns0:v>
      </ns0:c>
      <ns0:c r="E50" s="78" t="n">
        <ns0:v>0.2354906989400006</ns0:v>
      </ns0:c>
      <ns0:c r="F50" s="78" t="n">
        <ns0:v>0.02014176948469366</ns0:v>
      </ns0:c>
      <ns0:c r="G50" s="78" t="n">
        <ns0:v>-0.2412712768346047</ns0:v>
      </ns0:c>
      <ns0:c r="H50" s="78" t="n">
        <ns0:v>-0.08094731280879701</ns0:v>
      </ns0:c>
      <ns0:c r="I50" s="78" t="n">
        <ns0:v>-0.1459644316598881</ns0:v>
      </ns0:c>
      <ns0:c r="J50" s="77" t="n">
        <ns0:v>-0.9496788160853552</ns0:v>
      </ns0:c>
      <ns0:c r="K50" s="78" t="n">
        <ns0:v>-0.0978014588390613</ns0:v>
      </ns0:c>
      <ns0:c r="L50" s="78" t="n">
        <ns0:v>-0.1738479920425142</ns0:v>
      </ns0:c>
      <ns0:c r="M50" s="78" t="n">
        <ns0:v>0.1054754339773264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-0.1074909626348465</ns0:v>
      </ns0:c>
      <ns0:c r="C51" s="78" t="n">
        <ns0:v>-0.06211620565769048</ns0:v>
      </ns0:c>
      <ns0:c r="D51" s="78" t="n">
        <ns0:v>0.002016816514565526</ns0:v>
      </ns0:c>
      <ns0:c r="E51" s="78" t="n">
        <ns0:v>-0.108288166790972</ns0:v>
      </ns0:c>
      <ns0:c r="F51" s="78" t="n">
        <ns0:v>-0.004889753490417716</ns0:v>
      </ns0:c>
      <ns0:c r="G51" s="78" t="n">
        <ns0:v>0.04873284503397166</ns0:v>
      </ns0:c>
      <ns0:c r="H51" s="78" t="n">
        <ns0:v>-0.1052770719561375</ns0:v>
      </ns0:c>
      <ns0:c r="I51" s="78" t="n">
        <ns0:v>-0.03728070885568924</ns0:v>
      </ns0:c>
      <ns0:c r="J51" s="78" t="n">
        <ns0:v>-0.03268307848737034</ns0:v>
      </ns0:c>
      <ns0:c r="K51" s="77" t="n">
        <ns0:v>-0.5498105073954369</ns0:v>
      </ns0:c>
      <ns0:c r="L51" s="78" t="n">
        <ns0:v>-0.06159383100819759</ns0:v>
      </ns0:c>
      <ns0:c r="M51" s="78" t="n">
        <ns0:v>-0.004083286064509048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-0.24750013736202</ns0:v>
      </ns0:c>
      <ns0:c r="C52" s="78" t="n">
        <ns0:v>0.13446609445592</ns0:v>
      </ns0:c>
      <ns0:c r="D52" s="78" t="n">
        <ns0:v>-0.09470868417116399</ns0:v>
      </ns0:c>
      <ns0:c r="E52" s="78" t="n">
        <ns0:v>0.2312284592286869</ns0:v>
      </ns0:c>
      <ns0:c r="F52" s="78" t="n">
        <ns0:v>-0.1012676838753968</ns0:v>
      </ns0:c>
      <ns0:c r="G52" s="78" t="n">
        <ns0:v>-0.03755288115549305</ns0:v>
      </ns0:c>
      <ns0:c r="H52" s="78" t="n">
        <ns0:v>0.1289664662108803</ns0:v>
      </ns0:c>
      <ns0:c r="I52" s="78" t="n">
        <ns0:v>0.06882316509482121</ns0:v>
      </ns0:c>
      <ns0:c r="J52" s="78" t="n">
        <ns0:v>-0.119427083767336</ns0:v>
      </ns0:c>
      <ns0:c r="K52" s="78" t="n">
        <ns0:v>-0.2084376107900331</ns0:v>
      </ns0:c>
      <ns0:c r="L52" s="77" t="n">
        <ns0:v>-0.9026665495773668</ns0:v>
      </ns0:c>
      <ns0:c r="M52" s="78" t="n">
        <ns0:v>0.08030536853640324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0.2418360525646978</ns0:v>
      </ns0:c>
      <ns0:c r="C53" s="78" t="n">
        <ns0:v>-0.1160908176277548</ns0:v>
      </ns0:c>
      <ns0:c r="D53" s="78" t="n">
        <ns0:v>-0.14656476801607</ns0:v>
      </ns0:c>
      <ns0:c r="E53" s="78" t="n">
        <ns0:v>-0.3195134629163587</ns0:v>
      </ns0:c>
      <ns0:c r="F53" s="78" t="n">
        <ns0:v>-0.05026755997434016</ns0:v>
      </ns0:c>
      <ns0:c r="G53" s="78" t="n">
        <ns0:v>0.06583893521685706</ns0:v>
      </ns0:c>
      <ns0:c r="H53" s="78" t="n">
        <ns0:v>-0.0909017973482671</ns0:v>
      </ns0:c>
      <ns0:c r="I53" s="78" t="n">
        <ns0:v>-0.03088850504300125</ns0:v>
      </ns0:c>
      <ns0:c r="J53" s="78" t="n">
        <ns0:v>0.1832517199889328</ns0:v>
      </ns0:c>
      <ns0:c r="K53" s="78" t="n">
        <ns0:v>-0.03423811842912713</ns0:v>
      </ns0:c>
      <ns0:c r="L53" s="78" t="n">
        <ns0:v>0.02658265450580397</ns0:v>
      </ns0:c>
      <ns0:c r="M53" s="77" t="n">
        <ns0:v>-0.4197400363639078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سال 1400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-1.0809</ns0:v>
      </ns0:c>
      <ns0:c r="C6" s="69" t="n">
        <ns0:v>-1.0797</ns0:v>
      </ns0:c>
      <ns0:c r="D6" s="70" t="n">
        <ns0:v>1.5628</ns0:v>
      </ns0:c>
      <ns0:c r="E6" s="69" t="n">
        <ns0:v>1.6175</ns0:v>
      </ns0:c>
    </ns0:row>
    <ns0:row r="7" ht="23" customHeight="1">
      <ns0:c r="A7" s="28" t="inlineStr">
        <ns0:is>
          <ns0:t>نان و غلات</ns0:t>
        </ns0:is>
      </ns0:c>
      <ns0:c r="B7" s="68" t="n">
        <ns0:v>-0.6127</ns0:v>
      </ns0:c>
      <ns0:c r="C7" s="69" t="n">
        <ns0:v>-0.5744</ns0:v>
      </ns0:c>
      <ns0:c r="D7" s="70" t="n">
        <ns0:v>0.2643</ns0:v>
      </ns0:c>
      <ns0:c r="E7" s="69" t="n">
        <ns0:v>0.1349</ns0:v>
      </ns0:c>
    </ns0:row>
    <ns0:row r="8" ht="23" customHeight="1">
      <ns0:c r="A8" s="28" t="inlineStr">
        <ns0:is>
          <ns0:t>گوشت</ns0:t>
        </ns0:is>
      </ns0:c>
      <ns0:c r="B8" s="68" t="n">
        <ns0:v>-0.9312</ns0:v>
      </ns0:c>
      <ns0:c r="C8" s="69" t="n">
        <ns0:v>-0.9417</ns0:v>
      </ns0:c>
      <ns0:c r="D8" s="70" t="n">
        <ns0:v>1.2358</ns0:v>
      </ns0:c>
      <ns0:c r="E8" s="69" t="n">
        <ns0:v>1.2558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-0.8053</ns0:v>
      </ns0:c>
      <ns0:c r="C9" s="69" t="n">
        <ns0:v>-0.7993</ns0:v>
      </ns0:c>
      <ns0:c r="D9" s="70" t="n">
        <ns0:v>0.8562</ns0:v>
      </ns0:c>
      <ns0:c r="E9" s="69" t="n">
        <ns0:v>0.8329</ns0:v>
      </ns0:c>
    </ns0:row>
    <ns0:row r="10" ht="23" customHeight="1">
      <ns0:c r="A10" s="28" t="inlineStr">
        <ns0:is>
          <ns0:t>روغن و چربی</ns0:t>
        </ns0:is>
      </ns0:c>
      <ns0:c r="B10" s="68" t="n">
        <ns0:v>-0.4068</ns0:v>
      </ns0:c>
      <ns0:c r="C10" s="69" t="n">
        <ns0:v>-0.3987</ns0:v>
      </ns0:c>
      <ns0:c r="D10" s="70" t="n">
        <ns0:v>0.6833</ns0:v>
      </ns0:c>
      <ns0:c r="E10" s="69" t="n">
        <ns0:v>1.031</ns0:v>
      </ns0:c>
    </ns0:row>
    <ns0:row r="11" ht="23" customHeight="1">
      <ns0:c r="A11" s="28" t="inlineStr">
        <ns0:is>
          <ns0:t>میوه</ns0:t>
        </ns0:is>
      </ns0:c>
      <ns0:c r="B11" s="68" t="n">
        <ns0:v>-1.0524</ns0:v>
      </ns0:c>
      <ns0:c r="C11" s="69" t="n">
        <ns0:v>-1.0475</ns0:v>
      </ns0:c>
      <ns0:c r="D11" s="70" t="n">
        <ns0:v>1.3053</ns0:v>
      </ns0:c>
      <ns0:c r="E11" s="69" t="n">
        <ns0:v>1.3314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-0.4916</ns0:v>
      </ns0:c>
      <ns0:c r="C12" s="69" t="n">
        <ns0:v>-0.4803</ns0:v>
      </ns0:c>
      <ns0:c r="D12" s="70" t="n">
        <ns0:v>0.7764</ns0:v>
      </ns0:c>
      <ns0:c r="E12" s="69" t="n">
        <ns0:v>0.7181</ns0:v>
      </ns0:c>
    </ns0:row>
    <ns0:row r="13" ht="23" customHeight="1">
      <ns0:c r="A13" s="28" t="inlineStr">
        <ns0:is>
          <ns0:t>حبوبات</ns0:t>
        </ns0:is>
      </ns0:c>
      <ns0:c r="B13" s="68" t="n">
        <ns0:v>-0.7141</ns0:v>
      </ns0:c>
      <ns0:c r="C13" s="69" t="n">
        <ns0:v>-0.7381</ns0:v>
      </ns0:c>
      <ns0:c r="D13" s="70" t="n">
        <ns0:v>1.0308</ns0:v>
      </ns0:c>
      <ns0:c r="E13" s="69" t="n">
        <ns0:v>1.288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-0.9187</ns0:v>
      </ns0:c>
      <ns0:c r="C14" s="69" t="n">
        <ns0:v>-0.9403</ns0:v>
      </ns0:c>
      <ns0:c r="D14" s="70" t="n">
        <ns0:v>2.2695</ns0:v>
      </ns0:c>
      <ns0:c r="E14" s="69" t="n">
        <ns0:v>1.6014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-0.5663</ns0:v>
      </ns0:c>
      <ns0:c r="C15" s="69" t="n">
        <ns0:v>-0.5633</ns0:v>
      </ns0:c>
      <ns0:c r="D15" s="70" t="n">
        <ns0:v>1.0354</ns0:v>
      </ns0:c>
      <ns0:c r="E15" s="69" t="n">
        <ns0:v>1.0073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-0.8832</ns0:v>
      </ns0:c>
      <ns0:c r="C16" s="69" t="n">
        <ns0:v>-0.8939</ns0:v>
      </ns0:c>
      <ns0:c r="D16" s="70" t="n">
        <ns0:v>0.9723000000000001</ns0:v>
      </ns0:c>
      <ns0:c r="E16" s="69" t="n">
        <ns0:v>1.1737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-0.4319</ns0:v>
      </ns0:c>
      <ns0:c r="C17" s="69" t="n">
        <ns0:v>-0.4302</ns0:v>
      </ns0:c>
      <ns0:c r="D17" s="70" t="n">
        <ns0:v>0.8596</ns0:v>
      </ns0:c>
      <ns0:c r="E17" s="69" t="n">
        <ns0:v>0.7067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-1.080938866682569</ns0:v>
      </ns0:c>
      <ns0:c r="C26" s="75" t="n">
        <ns0:v>0.02172230867321683</ns0:v>
      </ns0:c>
      <ns0:c r="D26" s="75" t="n">
        <ns0:v>-0.1071160900459114</ns0:v>
      </ns0:c>
      <ns0:c r="E26" s="75" t="n">
        <ns0:v>0.02463783088346621</ns0:v>
      </ns0:c>
      <ns0:c r="F26" s="75" t="n">
        <ns0:v>-0.03078678060345185</ns0:v>
      </ns0:c>
      <ns0:c r="G26" s="75" t="n">
        <ns0:v>-0.08231971807728833</ns0:v>
      </ns0:c>
      <ns0:c r="H26" s="75" t="n">
        <ns0:v>-0.09394302264192406</ns0:v>
      </ns0:c>
      <ns0:c r="I26" s="75" t="n">
        <ns0:v>-0.03029930584059411</ns0:v>
      </ns0:c>
      <ns0:c r="J26" s="75" t="n">
        <ns0:v>-0.009702563180202932</ns0:v>
      </ns0:c>
      <ns0:c r="K26" s="75" t="n">
        <ns0:v>-0.09215997580117134</ns0:v>
      </ns0:c>
      <ns0:c r="L26" s="75" t="n">
        <ns0:v>-0.1250505960841111</ns0:v>
      </ns0:c>
      <ns0:c r="M26" s="75" t="n">
        <ns0:v>0.04864230875168167</ns0:v>
      </ns0:c>
    </ns0:row>
    <ns0:row r="27" ht="30" customHeight="1">
      <ns0:c r="A27" s="73" t="inlineStr">
        <ns0:is>
          <ns0:t>نان و غلات</ns0:t>
        </ns0:is>
      </ns0:c>
      <ns0:c r="B27" s="75" t="n">
        <ns0:v>0.1511359125829243</ns0:v>
      </ns0:c>
      <ns0:c r="C27" s="74" t="n">
        <ns0:v>-0.6126913327022956</ns0:v>
      </ns0:c>
      <ns0:c r="D27" s="75" t="n">
        <ns0:v>0.2841273925323322</ns0:v>
      </ns0:c>
      <ns0:c r="E27" s="75" t="n">
        <ns0:v>-0.1469503465139701</ns0:v>
      </ns0:c>
      <ns0:c r="F27" s="75" t="n">
        <ns0:v>0.004785836209966368</ns0:v>
      </ns0:c>
      <ns0:c r="G27" s="75" t="n">
        <ns0:v>0.04438964797507126</ns0:v>
      </ns0:c>
      <ns0:c r="H27" s="75" t="n">
        <ns0:v>-0.09973246877768031</ns0:v>
      </ns0:c>
      <ns0:c r="I27" s="75" t="n">
        <ns0:v>0.05130728058452435</ns0:v>
      </ns0:c>
      <ns0:c r="J27" s="75" t="n">
        <ns0:v>0.02531334939691323</ns0:v>
      </ns0:c>
      <ns0:c r="K27" s="75" t="n">
        <ns0:v>-0.007714500650469903</ns0:v>
      </ns0:c>
      <ns0:c r="L27" s="75" t="n">
        <ns0:v>0.1115349121277321</ns0:v>
      </ns0:c>
      <ns0:c r="M27" s="75" t="n">
        <ns0:v>-0.04995029307792219</ns0:v>
      </ns0:c>
    </ns0:row>
    <ns0:row r="28" ht="30" customHeight="1">
      <ns0:c r="A28" s="73" t="inlineStr">
        <ns0:is>
          <ns0:t>گوشت</ns0:t>
        </ns0:is>
      </ns0:c>
      <ns0:c r="B28" s="75" t="n">
        <ns0:v>0.001643685205542001</ns0:v>
      </ns0:c>
      <ns0:c r="C28" s="75" t="n">
        <ns0:v>0.02359289644035983</ns0:v>
      </ns0:c>
      <ns0:c r="D28" s="74" t="n">
        <ns0:v>-0.9312008649414527</ns0:v>
      </ns0:c>
      <ns0:c r="E28" s="75" t="n">
        <ns0:v>-0.0162994605260971</ns0:v>
      </ns0:c>
      <ns0:c r="F28" s="75" t="n">
        <ns0:v>-0.07768102191798194</ns0:v>
      </ns0:c>
      <ns0:c r="G28" s="75" t="n">
        <ns0:v>-0.005923687063904472</ns0:v>
      </ns0:c>
      <ns0:c r="H28" s="75" t="n">
        <ns0:v>-0.08883209932419896</ns0:v>
      </ns0:c>
      <ns0:c r="I28" s="75" t="n">
        <ns0:v>-0.02079951571174112</ns0:v>
      </ns0:c>
      <ns0:c r="J28" s="75" t="n">
        <ns0:v>-0.03434674321553467</ns0:v>
      </ns0:c>
      <ns0:c r="K28" s="75" t="n">
        <ns0:v>0.0007406587890841824</ns0:v>
      </ns0:c>
      <ns0:c r="L28" s="75" t="n">
        <ns0:v>-0.04551666476183784</ns0:v>
      </ns0:c>
      <ns0:c r="M28" s="75" t="n">
        <ns0:v>-0.0423571262381478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0.1034307318231965</ns0:v>
      </ns0:c>
      <ns0:c r="C29" s="75" t="n">
        <ns0:v>-0.1750246670852859</ns0:v>
      </ns0:c>
      <ns0:c r="D29" s="75" t="n">
        <ns0:v>0.05929998956541535</ns0:v>
      </ns0:c>
      <ns0:c r="E29" s="74" t="n">
        <ns0:v>-0.8053375417183579</ns0:v>
      </ns0:c>
      <ns0:c r="F29" s="75" t="n">
        <ns0:v>0.001667576715593053</ns0:v>
      </ns0:c>
      <ns0:c r="G29" s="75" t="n">
        <ns0:v>0.0338252767182049</ns0:v>
      </ns0:c>
      <ns0:c r="H29" s="75" t="n">
        <ns0:v>-0.1452590012984677</ns0:v>
      </ns0:c>
      <ns0:c r="I29" s="75" t="n">
        <ns0:v>0.04337817600250577</ns0:v>
      </ns0:c>
      <ns0:c r="J29" s="75" t="n">
        <ns0:v>0.08361549661865453</ns0:v>
      </ns0:c>
      <ns0:c r="K29" s="75" t="n">
        <ns0:v>-0.04399647059101292</ns0:v>
      </ns0:c>
      <ns0:c r="L29" s="75" t="n">
        <ns0:v>0.1068307070874311</ns0:v>
      </ns0:c>
      <ns0:c r="M29" s="75" t="n">
        <ns0:v>-0.1144388259394122</ns0:v>
      </ns0:c>
    </ns0:row>
    <ns0:row r="30" ht="30" customHeight="1">
      <ns0:c r="A30" s="73" t="inlineStr">
        <ns0:is>
          <ns0:t>روغن و چربی</ns0:t>
        </ns0:is>
      </ns0:c>
      <ns0:c r="B30" s="75" t="n">
        <ns0:v>0.02692366630902323</ns0:v>
      </ns0:c>
      <ns0:c r="C30" s="75" t="n">
        <ns0:v>-0.03909062963428574</ns0:v>
      </ns0:c>
      <ns0:c r="D30" s="75" t="n">
        <ns0:v>-0.1848161615512983</ns0:v>
      </ns0:c>
      <ns0:c r="E30" s="75" t="n">
        <ns0:v>0.1403073475008039</ns0:v>
      </ns0:c>
      <ns0:c r="F30" s="74" t="n">
        <ns0:v>-0.4068456526395907</ns0:v>
      </ns0:c>
      <ns0:c r="G30" s="75" t="n">
        <ns0:v>-0.04015689685667184</ns0:v>
      </ns0:c>
      <ns0:c r="H30" s="75" t="n">
        <ns0:v>-0.06150448907636105</ns0:v>
      </ns0:c>
      <ns0:c r="I30" s="75" t="n">
        <ns0:v>-0.1061333296275868</ns0:v>
      </ns0:c>
      <ns0:c r="J30" s="75" t="n">
        <ns0:v>0.06131546862443441</ns0:v>
      </ns0:c>
      <ns0:c r="K30" s="75" t="n">
        <ns0:v>-0.008939821276312059</ns0:v>
      </ns0:c>
      <ns0:c r="L30" s="75" t="n">
        <ns0:v>-0.0812826457413024</ns0:v>
      </ns0:c>
      <ns0:c r="M30" s="75" t="n">
        <ns0:v>-0.00906286799804396</ns0:v>
      </ns0:c>
    </ns0:row>
    <ns0:row r="31" ht="30" customHeight="1">
      <ns0:c r="A31" s="73" t="inlineStr">
        <ns0:is>
          <ns0:t>میوه</ns0:t>
        </ns0:is>
      </ns0:c>
      <ns0:c r="B31" s="75" t="n">
        <ns0:v>-0.1530762418719567</ns0:v>
      </ns0:c>
      <ns0:c r="C31" s="75" t="n">
        <ns0:v>0.0004416249223191497</ns0:v>
      </ns0:c>
      <ns0:c r="D31" s="75" t="n">
        <ns0:v>-0.008987682912685663</ns0:v>
      </ns0:c>
      <ns0:c r="E31" s="75" t="n">
        <ns0:v>0.0482806100207397</ns0:v>
      </ns0:c>
      <ns0:c r="F31" s="75" t="n">
        <ns0:v>-0.0846414765330662</ns0:v>
      </ns0:c>
      <ns0:c r="G31" s="74" t="n">
        <ns0:v>-1.0523753524972</ns0:v>
      </ns0:c>
      <ns0:c r="H31" s="75" t="n">
        <ns0:v>0.1137327954189252</ns0:v>
      </ns0:c>
      <ns0:c r="I31" s="75" t="n">
        <ns0:v>-0.04460657638266287</ns0:v>
      </ns0:c>
      <ns0:c r="J31" s="75" t="n">
        <ns0:v>-0.1871748572970314</ns0:v>
      </ns0:c>
      <ns0:c r="K31" s="75" t="n">
        <ns0:v>0.0523433994558141</ns0:v>
      </ns0:c>
      <ns0:c r="L31" s="75" t="n">
        <ns0:v>-0.02920994482617145</ns0:v>
      </ns0:c>
      <ns0:c r="M31" s="75" t="n">
        <ns0:v>0.02889540440486536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-0.009590944304737753</ns0:v>
      </ns0:c>
      <ns0:c r="C32" s="75" t="n">
        <ns0:v>-0.1231394916976334</ns0:v>
      </ns0:c>
      <ns0:c r="D32" s="75" t="n">
        <ns0:v>-0.06271691977270372</ns0:v>
      </ns0:c>
      <ns0:c r="E32" s="75" t="n">
        <ns0:v>-0.1316560072485087</ns0:v>
      </ns0:c>
      <ns0:c r="F32" s="75" t="n">
        <ns0:v>-0.004319959464473103</ns0:v>
      </ns0:c>
      <ns0:c r="G32" s="75" t="n">
        <ns0:v>0.04746154489462692</ns0:v>
      </ns0:c>
      <ns0:c r="H32" s="74" t="n">
        <ns0:v>-0.4915698993258399</ns0:v>
      </ns0:c>
      <ns0:c r="I32" s="75" t="n">
        <ns0:v>0.0008267297047444845</ns0:v>
      </ns0:c>
      <ns0:c r="J32" s="75" t="n">
        <ns0:v>0.01021466150326863</ns0:v>
      </ns0:c>
      <ns0:c r="K32" s="75" t="n">
        <ns0:v>-0.06729033234209962</ns0:v>
      </ns0:c>
      <ns0:c r="L32" s="75" t="n">
        <ns0:v>0.05700894304871972</ns0:v>
      </ns0:c>
      <ns0:c r="M32" s="75" t="n">
        <ns0:v>-0.02425097862342941</ns0:v>
      </ns0:c>
    </ns0:row>
    <ns0:row r="33" ht="30" customHeight="1">
      <ns0:c r="A33" s="73" t="inlineStr">
        <ns0:is>
          <ns0:t>حبوبات</ns0:t>
        </ns0:is>
      </ns0:c>
      <ns0:c r="B33" s="75" t="n">
        <ns0:v>-0.0645920086129778</ns0:v>
      </ns0:c>
      <ns0:c r="C33" s="75" t="n">
        <ns0:v>0.01551118077431377</ns0:v>
      </ns0:c>
      <ns0:c r="D33" s="75" t="n">
        <ns0:v>0.0435333289628388</ns0:v>
      </ns0:c>
      <ns0:c r="E33" s="75" t="n">
        <ns0:v>0.2470244151839906</ns0:v>
      </ns0:c>
      <ns0:c r="F33" s="75" t="n">
        <ns0:v>-0.09993231432879042</ns0:v>
      </ns0:c>
      <ns0:c r="G33" s="75" t="n">
        <ns0:v>-0.05712211032058986</ns0:v>
      </ns0:c>
      <ns0:c r="H33" s="75" t="n">
        <ns0:v>-0.1229396939535945</ns0:v>
      </ns0:c>
      <ns0:c r="I33" s="74" t="n">
        <ns0:v>-0.7141280715443314</ns0:v>
      </ns0:c>
      <ns0:c r="J33" s="75" t="n">
        <ns0:v>-0.1159008917100671</ns0:v>
      </ns0:c>
      <ns0:c r="K33" s="75" t="n">
        <ns0:v>-0.1660738772664714</ns0:v>
      </ns0:c>
      <ns0:c r="L33" s="75" t="n">
        <ns0:v>0.02881901878567093</ns0:v>
      </ns0:c>
      <ns0:c r="M33" s="75" t="n">
        <ns0:v>0.005808427129342621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-0.15887520796014</ns0:v>
      </ns0:c>
      <ns0:c r="C34" s="75" t="n">
        <ns0:v>-0.06951474997713022</ns0:v>
      </ns0:c>
      <ns0:c r="D34" s="75" t="n">
        <ns0:v>-0.4689684731402141</ns0:v>
      </ns0:c>
      <ns0:c r="E34" s="75" t="n">
        <ns0:v>0.1119159608689779</ns0:v>
      </ns0:c>
      <ns0:c r="F34" s="75" t="n">
        <ns0:v>0.006149152190384819</ns0:v>
      </ns0:c>
      <ns0:c r="G34" s="75" t="n">
        <ns0:v>-0.2699479753991931</ns0:v>
      </ns0:c>
      <ns0:c r="H34" s="75" t="n">
        <ns0:v>-0.153470853916654</ns0:v>
      </ns0:c>
      <ns0:c r="I34" s="75" t="n">
        <ns0:v>-0.1945378172224728</ns0:v>
      </ns0:c>
      <ns0:c r="J34" s="74" t="n">
        <ns0:v>-0.9186877519630806</ns0:v>
      </ns0:c>
      <ns0:c r="K34" s="75" t="n">
        <ns0:v>-0.1344986155262724</ns0:v>
      </ns0:c>
      <ns0:c r="L34" s="75" t="n">
        <ns0:v>-0.2096597479531942</ns0:v>
      </ns0:c>
      <ns0:c r="M34" s="75" t="n">
        <ns0:v>0.1020136173361031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-0.1162879297741594</ns0:v>
      </ns0:c>
      <ns0:c r="C35" s="75" t="n">
        <ns0:v>-0.05978406584554982</ns0:v>
      </ns0:c>
      <ns0:c r="D35" s="75" t="n">
        <ns0:v>0.002084036774637978</ns0:v>
      </ns0:c>
      <ns0:c r="E35" s="75" t="n">
        <ns0:v>-0.1087175056139057</ns0:v>
      </ns0:c>
      <ns0:c r="F35" s="75" t="n">
        <ns0:v>-0.01768738218541727</ns0:v>
      </ns0:c>
      <ns0:c r="G35" s="75" t="n">
        <ns0:v>0.04442397894574458</ns0:v>
      </ns0:c>
      <ns0:c r="H35" s="75" t="n">
        <ns0:v>-0.1082474067267793</ns0:v>
      </ns0:c>
      <ns0:c r="I35" s="75" t="n">
        <ns0:v>-0.04174926627214996</ns0:v>
      </ns0:c>
      <ns0:c r="J35" s="75" t="n">
        <ns0:v>-0.0208990168402685</ns0:v>
      </ns0:c>
      <ns0:c r="K35" s="74" t="n">
        <ns0:v>-0.5662849958632816</ns0:v>
      </ns0:c>
      <ns0:c r="L35" s="75" t="n">
        <ns0:v>-0.0598011875297787</ns0:v>
      </ns0:c>
      <ns0:c r="M35" s="75" t="n">
        <ns0:v>-0.003709099542010038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-0.2362753154948056</ns0:v>
      </ns0:c>
      <ns0:c r="C36" s="75" t="n">
        <ns0:v>0.1608879848763439</ns0:v>
      </ns0:c>
      <ns0:c r="D36" s="75" t="n">
        <ns0:v>-0.06108946115079851</ns0:v>
      </ns0:c>
      <ns0:c r="E36" s="75" t="n">
        <ns0:v>0.2785065492349927</ns0:v>
      </ns0:c>
      <ns0:c r="F36" s="75" t="n">
        <ns0:v>-0.0997628504073559</ns0:v>
      </ns0:c>
      <ns0:c r="G36" s="75" t="n">
        <ns0:v>-0.02966981224133424</ns0:v>
      </ns0:c>
      <ns0:c r="H36" s="75" t="n">
        <ns0:v>0.164891366696639</ns0:v>
      </ns0:c>
      <ns0:c r="I36" s="75" t="n">
        <ns0:v>0.08647648450426183</ns0:v>
      </ns0:c>
      <ns0:c r="J36" s="75" t="n">
        <ns0:v>-0.1326712329896949</ns0:v>
      </ns0:c>
      <ns0:c r="K36" s="75" t="n">
        <ns0:v>-0.204463932665811</ns0:v>
      </ns0:c>
      <ns0:c r="L36" s="74" t="n">
        <ns0:v>-0.8832450099028841</ns0:v>
      </ns0:c>
      <ns0:c r="M36" s="75" t="n">
        <ns0:v>0.0908007036885415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0.2264629463571549</ns0:v>
      </ns0:c>
      <ns0:c r="C37" s="75" t="n">
        <ns0:v>-0.1474369161906121</ns0:v>
      </ns0:c>
      <ns0:c r="D37" s="75" t="n">
        <ns0:v>-0.1768124936446752</ns0:v>
      </ns0:c>
      <ns0:c r="E37" s="75" t="n">
        <ns0:v>-0.3437425763617239</ns0:v>
      </ns0:c>
      <ns0:c r="F37" s="75" t="n">
        <ns0:v>-0.05276624405814532</ns0:v>
      </ns0:c>
      <ns0:c r="G37" s="75" t="n">
        <ns0:v>0.05848366616469781</ns0:v>
      </ns0:c>
      <ns0:c r="H37" s="75" t="n">
        <ns0:v>-0.1130637422581059</ns0:v>
      </ns0:c>
      <ns0:c r="I37" s="75" t="n">
        <ns0:v>-0.03612151097874455</ns0:v>
      </ns0:c>
      <ns0:c r="J37" s="75" t="n">
        <ns0:v>0.1895178888687407</ns0:v>
      </ns0:c>
      <ns0:c r="K37" s="75" t="n">
        <ns0:v>-0.04441893056315602</ns0:v>
      </ns0:c>
      <ns0:c r="L37" s="75" t="n">
        <ns0:v>0.01758225430366555</ns0:v>
      </ns0:c>
      <ns0:c r="M37" s="74" t="n">
        <ns0:v>-0.4319288130445664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-1.079674343419667</ns0:v>
      </ns0:c>
      <ns0:c r="C42" s="78" t="n">
        <ns0:v>0.007046159857717357</ns0:v>
      </ns0:c>
      <ns0:c r="D42" s="78" t="n">
        <ns0:v>-0.1229102607556378</ns0:v>
      </ns0:c>
      <ns0:c r="E42" s="78" t="n">
        <ns0:v>0.01632806079537368</ns0:v>
      </ns0:c>
      <ns0:c r="F42" s="78" t="n">
        <ns0:v>-0.02829594835774761</ns0:v>
      </ns0:c>
      <ns0:c r="G42" s="78" t="n">
        <ns0:v>-0.08453650901634134</ns0:v>
      </ns0:c>
      <ns0:c r="H42" s="78" t="n">
        <ns0:v>-0.1041859251840593</ns0:v>
      </ns0:c>
      <ns0:c r="I42" s="78" t="n">
        <ns0:v>-0.03199636297633039</ns0:v>
      </ns0:c>
      <ns0:c r="J42" s="78" t="n">
        <ns0:v>-0.007828273118112473</ns0:v>
      </ns0:c>
      <ns0:c r="K42" s="78" t="n">
        <ns0:v>-0.09254132587356899</ns0:v>
      </ns0:c>
      <ns0:c r="L42" s="78" t="n">
        <ns0:v>-0.1296748764567962</ns0:v>
      </ns0:c>
      <ns0:c r="M42" s="78" t="n">
        <ns0:v>0.04658233993842453</ns0:v>
      </ns0:c>
    </ns0:row>
    <ns0:row r="43" ht="30" customHeight="1">
      <ns0:c r="A43" s="73" t="inlineStr">
        <ns0:is>
          <ns0:t>نان و غلات</ns0:t>
        </ns0:is>
      </ns0:c>
      <ns0:c r="B43" s="78" t="n">
        <ns0:v>0.1456281408146956</ns0:v>
      </ns0:c>
      <ns0:c r="C43" s="77" t="n">
        <ns0:v>-0.5743771737513188</ns0:v>
      </ns0:c>
      <ns0:c r="D43" s="78" t="n">
        <ns0:v>0.311249619005526</ns0:v>
      </ns0:c>
      <ns0:c r="E43" s="78" t="n">
        <ns0:v>-0.1238570942747134</ns0:v>
      </ns0:c>
      <ns0:c r="F43" s="78" t="n">
        <ns0:v>-0.01403530784325806</ns0:v>
      </ns0:c>
      <ns0:c r="G43" s="78" t="n">
        <ns0:v>0.04675158168834911</ns0:v>
      </ns0:c>
      <ns0:c r="H43" s="78" t="n">
        <ns0:v>-0.07923693258992312</ns0:v>
      </ns0:c>
      <ns0:c r="I43" s="78" t="n">
        <ns0:v>0.05598026426268637</ns0:v>
      </ns0:c>
      <ns0:c r="J43" s="78" t="n">
        <ns0:v>0.03882782621408412</ns0:v>
      </ns0:c>
      <ns0:c r="K43" s="78" t="n">
        <ns0:v>-0.002119238017291456</ns0:v>
      </ns0:c>
      <ns0:c r="L43" s="78" t="n">
        <ns0:v>0.119439200805968</ns0:v>
      </ns0:c>
      <ns0:c r="M43" s="78" t="n">
        <ns0:v>-0.04011194539315934</ns0:v>
      </ns0:c>
    </ns0:row>
    <ns0:row r="44" ht="30" customHeight="1">
      <ns0:c r="A44" s="73" t="inlineStr">
        <ns0:is>
          <ns0:t>گوشت</ns0:t>
        </ns0:is>
      </ns0:c>
      <ns0:c r="B44" s="78" t="n">
        <ns0:v>-0.001147658630363049</ns0:v>
      </ns0:c>
      <ns0:c r="C44" s="78" t="n">
        <ns0:v>0.02019586326883283</ns0:v>
      </ns0:c>
      <ns0:c r="D44" s="77" t="n">
        <ns0:v>-0.9417492403828378</ns0:v>
      </ns0:c>
      <ns0:c r="E44" s="78" t="n">
        <ns0:v>-0.02145420228983121</ns0:v>
      </ns0:c>
      <ns0:c r="F44" s="78" t="n">
        <ns0:v>-0.06866672042229231</ns0:v>
      </ns0:c>
      <ns0:c r="G44" s="78" t="n">
        <ns0:v>-0.004876989409715317</ns0:v>
      </ns0:c>
      <ns0:c r="H44" s="78" t="n">
        <ns0:v>-0.09083422721937427</ns0:v>
      </ns0:c>
      <ns0:c r="I44" s="78" t="n">
        <ns0:v>-0.02102812336662907</ns0:v>
      </ns0:c>
      <ns0:c r="J44" s="78" t="n">
        <ns0:v>-0.03523205480210464</ns0:v>
      </ns0:c>
      <ns0:c r="K44" s="78" t="n">
        <ns0:v>-0.004687360805296663</ns0:v>
      </ns0:c>
      <ns0:c r="L44" s="78" t="n">
        <ns0:v>-0.04394908473314358</ns0:v>
      </ns0:c>
      <ns0:c r="M44" s="78" t="n">
        <ns0:v>-0.04337539535291894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0.1048666349079682</ns0:v>
      </ns0:c>
      <ns0:c r="C45" s="78" t="n">
        <ns0:v>-0.1671666933237982</ns0:v>
      </ns0:c>
      <ns0:c r="D45" s="78" t="n">
        <ns0:v>0.05971141601710307</ns0:v>
      </ns0:c>
      <ns0:c r="E45" s="77" t="n">
        <ns0:v>-0.7992567901313772</ns0:v>
      </ns0:c>
      <ns0:c r="F45" s="78" t="n">
        <ns0:v>-0.01273607040994801</ns0:v>
      </ns0:c>
      <ns0:c r="G45" s="78" t="n">
        <ns0:v>0.03364645463168695</ns0:v>
      </ns0:c>
      <ns0:c r="H45" s="78" t="n">
        <ns0:v>-0.1394056216162906</ns0:v>
      </ns0:c>
      <ns0:c r="I45" s="78" t="n">
        <ns0:v>0.04350855405573972</ns0:v>
      </ns0:c>
      <ns0:c r="J45" s="78" t="n">
        <ns0:v>0.09970682096199772</ns0:v>
      </ns0:c>
      <ns0:c r="K45" s="78" t="n">
        <ns0:v>-0.04820309262780127</ns0:v>
      </ns0:c>
      <ns0:c r="L45" s="78" t="n">
        <ns0:v>0.1059435586191117</ns0:v>
      </ns0:c>
      <ns0:c r="M45" s="78" t="n">
        <ns0:v>-0.1094524654707247</ns0:v>
      </ns0:c>
    </ns0:row>
    <ns0:row r="46" ht="30" customHeight="1">
      <ns0:c r="A46" s="73" t="inlineStr">
        <ns0:is>
          <ns0:t>روغن و چربی</ns0:t>
        </ns0:is>
      </ns0:c>
      <ns0:c r="B46" s="78" t="n">
        <ns0:v>0.01887948545049046</ns0:v>
      </ns0:c>
      <ns0:c r="C46" s="78" t="n">
        <ns0:v>-0.110934066248179</ns0:v>
      </ns0:c>
      <ns0:c r="D46" s="78" t="n">
        <ns0:v>-0.2307218692990035</ns0:v>
      </ns0:c>
      <ns0:c r="E46" s="78" t="n">
        <ns0:v>0.07260214854858366</ns0:v>
      </ns0:c>
      <ns0:c r="F46" s="77" t="n">
        <ns0:v>-0.3987409669026898</ns0:v>
      </ns0:c>
      <ns0:c r="G46" s="78" t="n">
        <ns0:v>-0.05724298464679577</ns0:v>
      </ns0:c>
      <ns0:c r="H46" s="78" t="n">
        <ns0:v>-0.1219665000493177</ns0:v>
      </ns0:c>
      <ns0:c r="I46" s="78" t="n">
        <ns0:v>-0.1284463926978865</ns0:v>
      </ns0:c>
      <ns0:c r="J46" s="78" t="n">
        <ns0:v>0.03545715445332386</ns0:v>
      </ns0:c>
      <ns0:c r="K46" s="78" t="n">
        <ns0:v>-0.01534352722543021</ns0:v>
      </ns0:c>
      <ns0:c r="L46" s="78" t="n">
        <ns0:v>-0.09791379959753854</ns0:v>
      </ns0:c>
      <ns0:c r="M46" s="78" t="n">
        <ns0:v>-0.02640074886552804</ns0:v>
      </ns0:c>
    </ns0:row>
    <ns0:row r="47" ht="30" customHeight="1">
      <ns0:c r="A47" s="73" t="inlineStr">
        <ns0:is>
          <ns0:t>میوه</ns0:t>
        </ns0:is>
      </ns0:c>
      <ns0:c r="B47" s="78" t="n">
        <ns0:v>-0.1541797362087279</ns0:v>
      </ns0:c>
      <ns0:c r="C47" s="78" t="n">
        <ns0:v>-0.007337148056088751</ns0:v>
      </ns0:c>
      <ns0:c r="D47" s="78" t="n">
        <ns0:v>-0.006243257456683866</ns0:v>
      </ns0:c>
      <ns0:c r="E47" s="78" t="n">
        <ns0:v>0.04382756792699327</ns0:v>
      </ns0:c>
      <ns0:c r="F47" s="78" t="n">
        <ns0:v>-0.08854900667001908</ns0:v>
      </ns0:c>
      <ns0:c r="G47" s="77" t="n">
        <ns0:v>-1.047483360912224</ns0:v>
      </ns0:c>
      <ns0:c r="H47" s="78" t="n">
        <ns0:v>0.1036787605708031</ns0:v>
      </ns0:c>
      <ns0:c r="I47" s="78" t="n">
        <ns0:v>-0.04588680496044244</ns0:v>
      </ns0:c>
      <ns0:c r="J47" s="78" t="n">
        <ns0:v>-0.1899368982915607</ns0:v>
      </ns0:c>
      <ns0:c r="K47" s="78" t="n">
        <ns0:v>0.04984680339045771</ns0:v>
      </ns0:c>
      <ns0:c r="L47" s="78" t="n">
        <ns0:v>-0.02879308532677099</ns0:v>
      </ns0:c>
      <ns0:c r="M47" s="78" t="n">
        <ns0:v>0.02585809129694104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-0.009255523450210981</ns0:v>
      </ns0:c>
      <ns0:c r="C48" s="78" t="n">
        <ns0:v>-0.1150786468393548</ns0:v>
      </ns0:c>
      <ns0:c r="D48" s="78" t="n">
        <ns0:v>-0.04750654625373246</ns0:v>
      </ns0:c>
      <ns0:c r="E48" s="78" t="n">
        <ns0:v>-0.1215112191158472</ns0:v>
      </ns0:c>
      <ns0:c r="F48" s="78" t="n">
        <ns0:v>-0.004700626669131487</ns0:v>
      </ns0:c>
      <ns0:c r="G48" s="78" t="n">
        <ns0:v>0.04847863364753725</ns0:v>
      </ns0:c>
      <ns0:c r="H48" s="77" t="n">
        <ns0:v>-0.480284803977218</ns0:v>
      </ns0:c>
      <ns0:c r="I48" s="78" t="n">
        <ns0:v>0.004194485542319795</ns0:v>
      </ns0:c>
      <ns0:c r="J48" s="78" t="n">
        <ns0:v>0.007225886056264439</ns0:v>
      </ns0:c>
      <ns0:c r="K48" s="78" t="n">
        <ns0:v>-0.05998639797548393</ns0:v>
      </ns0:c>
      <ns0:c r="L48" s="78" t="n">
        <ns0:v>0.05776354756795152</ns0:v>
      </ns0:c>
      <ns0:c r="M48" s="78" t="n">
        <ns0:v>-0.02113310957615215</ns0:v>
      </ns0:c>
    </ns0:row>
    <ns0:row r="49" ht="30" customHeight="1">
      <ns0:c r="A49" s="73" t="inlineStr">
        <ns0:is>
          <ns0:t>حبوبات</ns0:t>
        </ns0:is>
      </ns0:c>
      <ns0:c r="B49" s="78" t="n">
        <ns0:v>-0.07910869716700296</ns0:v>
      </ns0:c>
      <ns0:c r="C49" s="78" t="n">
        <ns0:v>-0.02087130291740984</ns0:v>
      </ns0:c>
      <ns0:c r="D49" s="78" t="n">
        <ns0:v>-0.01130974784159454</ns0:v>
      </ns0:c>
      <ns0:c r="E49" s="78" t="n">
        <ns0:v>0.2038569658488516</ns0:v>
      </ns0:c>
      <ns0:c r="F49" s="78" t="n">
        <ns0:v>-0.1107247109401306</ns0:v>
      </ns0:c>
      <ns0:c r="G49" s="78" t="n">
        <ns0:v>-0.07008637284719575</ns0:v>
      </ns0:c>
      <ns0:c r="H49" s="78" t="n">
        <ns0:v>-0.1490130584760239</ns0:v>
      </ns0:c>
      <ns0:c r="I49" s="77" t="n">
        <ns0:v>-0.7381377906894774</ns0:v>
      </ns0:c>
      <ns0:c r="J49" s="78" t="n">
        <ns0:v>-0.1036685190438415</ns0:v>
      </ns0:c>
      <ns0:c r="K49" s="78" t="n">
        <ns0:v>-0.1743438483918279</ns0:v>
      </ns0:c>
      <ns0:c r="L49" s="78" t="n">
        <ns0:v>0.01129768632555815</ns0:v>
      </ns0:c>
      <ns0:c r="M49" s="78" t="n">
        <ns0:v>-0.003236700436238076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-0.109930781046579</ns0:v>
      </ns0:c>
      <ns0:c r="C50" s="78" t="n">
        <ns0:v>0.02021046792308915</ns0:v>
      </ns0:c>
      <ns0:c r="D50" s="78" t="n">
        <ns0:v>-0.3122111630769412</ns0:v>
      </ns0:c>
      <ns0:c r="E50" s="78" t="n">
        <ns0:v>0.2393448051183329</ns0:v>
      </ns0:c>
      <ns0:c r="F50" s="78" t="n">
        <ns0:v>0.01979548741023351</ns0:v>
      </ns0:c>
      <ns0:c r="G50" s="78" t="n">
        <ns0:v>-0.2397074296949083</ns0:v>
      </ns0:c>
      <ns0:c r="H50" s="78" t="n">
        <ns0:v>-0.0726198467393204</ns0:v>
      </ns0:c>
      <ns0:c r="I50" s="78" t="n">
        <ns0:v>-0.1468910873026702</ns0:v>
      </ns0:c>
      <ns0:c r="J50" s="77" t="n">
        <ns0:v>-0.9403425756933139</ns0:v>
      </ns0:c>
      <ns0:c r="K50" s="78" t="n">
        <ns0:v>-0.09822401758106154</ns0:v>
      </ns0:c>
      <ns0:c r="L50" s="78" t="n">
        <ns0:v>-0.1654851059639859</ns0:v>
      </ns0:c>
      <ns0:c r="M50" s="78" t="n">
        <ns0:v>0.1149589805420047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-0.1027296639758871</ns0:v>
      </ns0:c>
      <ns0:c r="C51" s="78" t="n">
        <ns0:v>-0.06097539221245681</ns0:v>
      </ns0:c>
      <ns0:c r="D51" s="78" t="n">
        <ns0:v>0.0004992780582216067</ns0:v>
      </ns0:c>
      <ns0:c r="E51" s="78" t="n">
        <ns0:v>-0.1067951245667768</ns0:v>
      </ns0:c>
      <ns0:c r="F51" s="78" t="n">
        <ns0:v>-0.005505963957198487</ns0:v>
      </ns0:c>
      <ns0:c r="G51" s="78" t="n">
        <ns0:v>0.04656312471841228</ns0:v>
      </ns0:c>
      <ns0:c r="H51" s="78" t="n">
        <ns0:v>-0.1064735803602648</ns0:v>
      </ns0:c>
      <ns0:c r="I51" s="78" t="n">
        <ns0:v>-0.03655239743241361</ns0:v>
      </ns0:c>
      <ns0:c r="J51" s="78" t="n">
        <ns0:v>-0.03213501247919582</ns0:v>
      </ns0:c>
      <ns0:c r="K51" s="77" t="n">
        <ns0:v>-0.5633104014254506</ns0:v>
      </ns0:c>
      <ns0:c r="L51" s="78" t="n">
        <ns0:v>-0.06101679085816969</ns0:v>
      </ns0:c>
      <ns0:c r="M51" s="78" t="n">
        <ns0:v>-0.005521613668982251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-0.2586593362432607</ns0:v>
      </ns0:c>
      <ns0:c r="C52" s="78" t="n">
        <ns0:v>0.1388349466071598</ns0:v>
      </ns0:c>
      <ns0:c r="D52" s="78" t="n">
        <ns0:v>-0.09847916738352068</ns0:v>
      </ns0:c>
      <ns0:c r="E52" s="78" t="n">
        <ns0:v>0.2438697717393189</ns0:v>
      </ns0:c>
      <ns0:c r="F52" s="78" t="n">
        <ns0:v>-0.1063982172283651</ns0:v>
      </ns0:c>
      <ns0:c r="G52" s="78" t="n">
        <ns0:v>-0.03861771967662386</ns0:v>
      </ns0:c>
      <ns0:c r="H52" s="78" t="n">
        <ns0:v>0.1370098066421965</ns0:v>
      </ns0:c>
      <ns0:c r="I52" s="78" t="n">
        <ns0:v>0.07085815836865321</ns0:v>
      </ns0:c>
      <ns0:c r="J52" s="78" t="n">
        <ns0:v>-0.1234856144670781</ns0:v>
      </ns0:c>
      <ns0:c r="K52" s="78" t="n">
        <ns0:v>-0.2151613358005074</ns0:v>
      </ns0:c>
      <ns0:c r="L52" s="77" t="n">
        <ns0:v>-0.8939338182317721</ns0:v>
      </ns0:c>
      <ns0:c r="M52" s="78" t="n">
        <ns0:v>0.08193625094465555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0.2371567575770915</ns0:v>
      </ns0:c>
      <ns0:c r="C53" s="78" t="n">
        <ns0:v>-0.1192095402345271</ns0:v>
      </ns0:c>
      <ns0:c r="D53" s="78" t="n">
        <ns0:v>-0.1439509276935191</ns0:v>
      </ns0:c>
      <ns0:c r="E53" s="78" t="n">
        <ns0:v>-0.3128112328720471</ns0:v>
      </ns0:c>
      <ns0:c r="F53" s="78" t="n">
        <ns0:v>-0.05049751117841743</ns0:v>
      </ns0:c>
      <ns0:c r="G53" s="78" t="n">
        <ns0:v>0.06433270193604476</ns0:v>
      </ns0:c>
      <ns0:c r="H53" s="78" t="n">
        <ns0:v>-0.0882270581963661</ns0:v>
      </ns0:c>
      <ns0:c r="I53" s="78" t="n">
        <ns0:v>-0.03038031138708849</ns0:v>
      </ns0:c>
      <ns0:c r="J53" s="78" t="n">
        <ns0:v>0.1803892709423804</ns0:v>
      </ns0:c>
      <ns0:c r="K53" s="78" t="n">
        <ns0:v>-0.03293802692252339</ns0:v>
      </ns0:c>
      <ns0:c r="L53" s="78" t="n">
        <ns0:v>0.0244020223573527</ns0:v>
      </ns0:c>
      <ns0:c r="M53" s="77" t="n">
        <ns0:v>-0.4302428611027102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11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سال 1401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-1.0798</ns0:v>
      </ns0:c>
      <ns0:c r="C6" s="69" t="n">
        <ns0:v>-1.0767</ns0:v>
      </ns0:c>
      <ns0:c r="D6" s="70" t="n">
        <ns0:v>1.5704</ns0:v>
      </ns0:c>
      <ns0:c r="E6" s="69" t="n">
        <ns0:v>1.6245</ns0:v>
      </ns0:c>
    </ns0:row>
    <ns0:row r="7" ht="23" customHeight="1">
      <ns0:c r="A7" s="28" t="inlineStr">
        <ns0:is>
          <ns0:t>نان و غلات</ns0:t>
        </ns0:is>
      </ns0:c>
      <ns0:c r="B7" s="68" t="n">
        <ns0:v>-0.5715</ns0:v>
      </ns0:c>
      <ns0:c r="C7" s="69" t="n">
        <ns0:v>-0.52</ns0:v>
      </ns0:c>
      <ns0:c r="D7" s="70" t="n">
        <ns0:v>0.1345</ns0:v>
      </ns0:c>
      <ns0:c r="E7" s="69" t="n">
        <ns0:v>-0.0244</ns0:v>
      </ns0:c>
    </ns0:row>
    <ns0:row r="8" ht="23" customHeight="1">
      <ns0:c r="A8" s="28" t="inlineStr">
        <ns0:is>
          <ns0:t>گوشت</ns0:t>
        </ns0:is>
      </ns0:c>
      <ns0:c r="B8" s="68" t="n">
        <ns0:v>-0.9258999999999999</ns0:v>
      </ns0:c>
      <ns0:c r="C8" s="69" t="n">
        <ns0:v>-0.9381</ns0:v>
      </ns0:c>
      <ns0:c r="D8" s="70" t="n">
        <ns0:v>1.2615</ns0:v>
      </ns0:c>
      <ns0:c r="E8" s="69" t="n">
        <ns0:v>1.281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-0.8259</ns0:v>
      </ns0:c>
      <ns0:c r="C9" s="69" t="n">
        <ns0:v>-0.8188</ns0:v>
      </ns0:c>
      <ns0:c r="D9" s="70" t="n">
        <ns0:v>0.8698</ns0:v>
      </ns0:c>
      <ns0:c r="E9" s="69" t="n">
        <ns0:v>0.8482</ns0:v>
      </ns0:c>
    </ns0:row>
    <ns0:row r="10" ht="23" customHeight="1">
      <ns0:c r="A10" s="28" t="inlineStr">
        <ns0:is>
          <ns0:t>روغن و چربی</ns0:t>
        </ns0:is>
      </ns0:c>
      <ns0:c r="B10" s="68" t="n">
        <ns0:v>-0.6102</ns0:v>
      </ns0:c>
      <ns0:c r="C10" s="69" t="n">
        <ns0:v>-0.6157</ns0:v>
      </ns0:c>
      <ns0:c r="D10" s="70" t="n">
        <ns0:v>0.9085</ns0:v>
      </ns0:c>
      <ns0:c r="E10" s="69" t="n">
        <ns0:v>1.1074</ns0:v>
      </ns0:c>
    </ns0:row>
    <ns0:row r="11" ht="23" customHeight="1">
      <ns0:c r="A11" s="28" t="inlineStr">
        <ns0:is>
          <ns0:t>میوه</ns0:t>
        </ns0:is>
      </ns0:c>
      <ns0:c r="B11" s="68" t="n">
        <ns0:v>-1.0664</ns0:v>
      </ns0:c>
      <ns0:c r="C11" s="69" t="n">
        <ns0:v>-1.0608</ns0:v>
      </ns0:c>
      <ns0:c r="D11" s="70" t="n">
        <ns0:v>1.3611</ns0:v>
      </ns0:c>
      <ns0:c r="E11" s="69" t="n">
        <ns0:v>1.3856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-0.5155999999999999</ns0:v>
      </ns0:c>
      <ns0:c r="C12" s="69" t="n">
        <ns0:v>-0.5012</ns0:v>
      </ns0:c>
      <ns0:c r="D12" s="70" t="n">
        <ns0:v>0.7899</ns0:v>
      </ns0:c>
      <ns0:c r="E12" s="69" t="n">
        <ns0:v>0.7328</ns0:v>
      </ns0:c>
    </ns0:row>
    <ns0:row r="13" ht="23" customHeight="1">
      <ns0:c r="A13" s="28" t="inlineStr">
        <ns0:is>
          <ns0:t>حبوبات</ns0:t>
        </ns0:is>
      </ns0:c>
      <ns0:c r="B13" s="68" t="n">
        <ns0:v>-0.6854</ns0:v>
      </ns0:c>
      <ns0:c r="C13" s="69" t="n">
        <ns0:v>-0.7103</ns0:v>
      </ns0:c>
      <ns0:c r="D13" s="70" t="n">
        <ns0:v>1.0393</ns0:v>
      </ns0:c>
      <ns0:c r="E13" s="69" t="n">
        <ns0:v>1.3185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-0.9416</ns0:v>
      </ns0:c>
      <ns0:c r="C14" s="69" t="n">
        <ns0:v>-0.9564</ns0:v>
      </ns0:c>
      <ns0:c r="D14" s="70" t="n">
        <ns0:v>2.3001</ns0:v>
      </ns0:c>
      <ns0:c r="E14" s="69" t="n">
        <ns0:v>1.6666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-0.5649</ns0:v>
      </ns0:c>
      <ns0:c r="C15" s="69" t="n">
        <ns0:v>-0.5629999999999999</ns0:v>
      </ns0:c>
      <ns0:c r="D15" s="70" t="n">
        <ns0:v>1.0341</ns0:v>
      </ns0:c>
      <ns0:c r="E15" s="69" t="n">
        <ns0:v>0.9925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-0.8539</ns0:v>
      </ns0:c>
      <ns0:c r="C16" s="69" t="n">
        <ns0:v>-0.8637</ns0:v>
      </ns0:c>
      <ns0:c r="D16" s="70" t="n">
        <ns0:v>0.9257</ns0:v>
      </ns0:c>
      <ns0:c r="E16" s="69" t="n">
        <ns0:v>1.1377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-0.4221</ns0:v>
      </ns0:c>
      <ns0:c r="C17" s="69" t="n">
        <ns0:v>-0.4187</ns0:v>
      </ns0:c>
      <ns0:c r="D17" s="70" t="n">
        <ns0:v>0.8687</ns0:v>
      </ns0:c>
      <ns0:c r="E17" s="69" t="n">
        <ns0:v>0.7107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-1.079780902434049</ns0:v>
      </ns0:c>
      <ns0:c r="C26" s="75" t="n">
        <ns0:v>0.03241540241434302</ns0:v>
      </ns0:c>
      <ns0:c r="D26" s="75" t="n">
        <ns0:v>-0.09976224320841623</ns0:v>
      </ns0:c>
      <ns0:c r="E26" s="75" t="n">
        <ns0:v>0.01673528025808653</ns0:v>
      </ns0:c>
      <ns0:c r="F26" s="75" t="n">
        <ns0:v>-0.05049674727901463</ns0:v>
      </ns0:c>
      <ns0:c r="G26" s="75" t="n">
        <ns0:v>-0.08065147986173307</ns0:v>
      </ns0:c>
      <ns0:c r="H26" s="75" t="n">
        <ns0:v>-0.09954791752922856</ns0:v>
      </ns0:c>
      <ns0:c r="I26" s="75" t="n">
        <ns0:v>-0.03149554995456489</ns0:v>
      </ns0:c>
      <ns0:c r="J26" s="75" t="n">
        <ns0:v>-0.01274335264394571</ns0:v>
      </ns0:c>
      <ns0:c r="K26" s="75" t="n">
        <ns0:v>-0.09080185336921219</ns0:v>
      </ns0:c>
      <ns0:c r="L26" s="75" t="n">
        <ns0:v>-0.1232959687927135</ns0:v>
      </ns0:c>
      <ns0:c r="M26" s="75" t="n">
        <ns0:v>0.05243620144309161</ns0:v>
      </ns0:c>
    </ns0:row>
    <ns0:row r="27" ht="30" customHeight="1">
      <ns0:c r="A27" s="73" t="inlineStr">
        <ns0:is>
          <ns0:t>نان و غلات</ns0:t>
        </ns0:is>
      </ns0:c>
      <ns0:c r="B27" s="75" t="n">
        <ns0:v>0.1595336573702373</ns0:v>
      </ns0:c>
      <ns0:c r="C27" s="74" t="n">
        <ns0:v>-0.5715010275335829</ns0:v>
      </ns0:c>
      <ns0:c r="D27" s="75" t="n">
        <ns0:v>0.3118697677222809</ns0:v>
      </ns0:c>
      <ns0:c r="E27" s="75" t="n">
        <ns0:v>-0.140661377680782</ns0:v>
      </ns0:c>
      <ns0:c r="F27" s="75" t="n">
        <ns0:v>0.03712485517867656</ns0:v>
      </ns0:c>
      <ns0:c r="G27" s="75" t="n">
        <ns0:v>0.0461542895730524</ns0:v>
      </ns0:c>
      <ns0:c r="H27" s="75" t="n">
        <ns0:v>-0.09387795828340328</ns0:v>
      </ns0:c>
      <ns0:c r="I27" s="75" t="n">
        <ns0:v>0.05216801691772294</ns0:v>
      </ns0:c>
      <ns0:c r="J27" s="75" t="n">
        <ns0:v>0.03288169590791525</ns0:v>
      </ns0:c>
      <ns0:c r="K27" s="75" t="n">
        <ns0:v>0.002531692739259913</ns0:v>
      </ns0:c>
      <ns0:c r="L27" s="75" t="n">
        <ns0:v>0.1161634276517092</ns0:v>
      </ns0:c>
      <ns0:c r="M27" s="75" t="n">
        <ns0:v>-0.05550478781203799</ns0:v>
      </ns0:c>
    </ns0:row>
    <ns0:row r="28" ht="30" customHeight="1">
      <ns0:c r="A28" s="73" t="inlineStr">
        <ns0:is>
          <ns0:t>گوشت</ns0:t>
        </ns0:is>
      </ns0:c>
      <ns0:c r="B28" s="75" t="n">
        <ns0:v>0.003854718491911458</ns0:v>
      </ns0:c>
      <ns0:c r="C28" s="75" t="n">
        <ns0:v>0.0281125377864629</ns0:v>
      </ns0:c>
      <ns0:c r="D28" s="74" t="n">
        <ns0:v>-0.9259003458016175</ns0:v>
      </ns0:c>
      <ns0:c r="E28" s="75" t="n">
        <ns0:v>-0.02210416985665965</ns0:v>
      </ns0:c>
      <ns0:c r="F28" s="75" t="n">
        <ns0:v>-0.09304895776334608</ns0:v>
      </ns0:c>
      <ns0:c r="G28" s="75" t="n">
        <ns0:v>-0.005871301959805908</ns0:v>
      </ns0:c>
      <ns0:c r="H28" s="75" t="n">
        <ns0:v>-0.0981401794169374</ns0:v>
      </ns0:c>
      <ns0:c r="I28" s="75" t="n">
        <ns0:v>-0.02123217033561934</ns0:v>
      </ns0:c>
      <ns0:c r="J28" s="75" t="n">
        <ns0:v>-0.03771629609717537</ns0:v>
      </ns0:c>
      <ns0:c r="K28" s="75" t="n">
        <ns0:v>0.001206149178080851</ns0:v>
      </ns0:c>
      <ns0:c r="L28" s="75" t="n">
        <ns0:v>-0.04728607496256361</ns0:v>
      </ns0:c>
      <ns0:c r="M28" s="75" t="n">
        <ns0:v>-0.04489575521620971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0.09052040674976486</ns0:v>
      </ns0:c>
      <ns0:c r="C29" s="75" t="n">
        <ns0:v>-0.1564906888177205</ns0:v>
      </ns0:c>
      <ns0:c r="D29" s="75" t="n">
        <ns0:v>0.05144397890303491</ns0:v>
      </ns0:c>
      <ns0:c r="E29" s="74" t="n">
        <ns0:v>-0.8259157126998196</ns0:v>
      </ns0:c>
      <ns0:c r="F29" s="75" t="n">
        <ns0:v>0.006485917815303836</ns0:v>
      </ns0:c>
      <ns0:c r="G29" s="75" t="n">
        <ns0:v>0.02949093776900531</ns0:v>
      </ns0:c>
      <ns0:c r="H29" s="75" t="n">
        <ns0:v>-0.1274976357433301</ns0:v>
      </ns0:c>
      <ns0:c r="I29" s="75" t="n">
        <ns0:v>0.0379358369959548</ns0:v>
      </ns0:c>
      <ns0:c r="J29" s="75" t="n">
        <ns0:v>0.07470122018477111</ns0:v>
      </ns0:c>
      <ns0:c r="K29" s="75" t="n">
        <ns0:v>-0.03932185468964882</ns0:v>
      </ns0:c>
      <ns0:c r="L29" s="75" t="n">
        <ns0:v>0.09366484855365355</ns0:v>
      </ns0:c>
      <ns0:c r="M29" s="75" t="n">
        <ns0:v>-0.1014705805753223</ns0:v>
      </ns0:c>
    </ns0:row>
    <ns0:row r="30" ht="30" customHeight="1">
      <ns0:c r="A30" s="73" t="inlineStr">
        <ns0:is>
          <ns0:t>روغن و چربی</ns0:t>
        </ns0:is>
      </ns0:c>
      <ns0:c r="B30" s="75" t="n">
        <ns0:v>0.0006255935807189483</ns0:v>
      </ns0:c>
      <ns0:c r="C30" s="75" t="n">
        <ns0:v>-0.04443283018327691</ns0:v>
      </ns0:c>
      <ns0:c r="D30" s="75" t="n">
        <ns0:v>-0.1631325580074249</ns0:v>
      </ns0:c>
      <ns0:c r="E30" s="75" t="n">
        <ns0:v>0.1404300850983801</ns0:v>
      </ns0:c>
      <ns0:c r="F30" s="74" t="n">
        <ns0:v>-0.6102191322500397</ns0:v>
      </ns0:c>
      <ns0:c r="G30" s="75" t="n">
        <ns0:v>-0.04141580211563511</ns0:v>
      </ns0:c>
      <ns0:c r="H30" s="75" t="n">
        <ns0:v>-0.08281694105763908</ns0:v>
      </ns0:c>
      <ns0:c r="I30" s="75" t="n">
        <ns0:v>-0.1087701217244373</ns0:v>
      </ns0:c>
      <ns0:c r="J30" s="75" t="n">
        <ns0:v>0.04644304744974242</ns0:v>
      </ns0:c>
      <ns0:c r="K30" s="75" t="n">
        <ns0:v>-0.01538872160372451</ns0:v>
      </ns0:c>
      <ns0:c r="L30" s="75" t="n">
        <ns0:v>-0.06218780616824197</ns0:v>
      </ns0:c>
      <ns0:c r="M30" s="75" t="n">
        <ns0:v>0.002371792502527394</ns0:v>
      </ns0:c>
    </ns0:row>
    <ns0:row r="31" ht="30" customHeight="1">
      <ns0:c r="A31" s="73" t="inlineStr">
        <ns0:is>
          <ns0:t>میوه</ns0:t>
        </ns0:is>
      </ns0:c>
      <ns0:c r="B31" s="75" t="n">
        <ns0:v>-0.1650890701991938</ns0:v>
      </ns0:c>
      <ns0:c r="C31" s="75" t="n">
        <ns0:v>-0.002038743928183624</ns0:v>
      </ns0:c>
      <ns0:c r="D31" s="75" t="n">
        <ns0:v>-0.01461765453161008</ns0:v>
      </ns0:c>
      <ns0:c r="E31" s="75" t="n">
        <ns0:v>0.0489475654037889</ns0:v>
      </ns0:c>
      <ns0:c r="F31" s="75" t="n">
        <ns0:v>-0.0949945214553818</ns0:v>
      </ns0:c>
      <ns0:c r="G31" s="74" t="n">
        <ns0:v>-1.066388619104392</ns0:v>
      </ns0:c>
      <ns0:c r="H31" s="75" t="n">
        <ns0:v>0.1218907747767655</ns0:v>
      </ns0:c>
      <ns0:c r="I31" s="75" t="n">
        <ns0:v>-0.05111167092303689</ns0:v>
      </ns0:c>
      <ns0:c r="J31" s="75" t="n">
        <ns0:v>-0.2011910375464887</ns0:v>
      </ns0:c>
      <ns0:c r="K31" s="75" t="n">
        <ns0:v>0.05310756450944494</ns0:v>
      </ns0:c>
      <ns0:c r="L31" s="75" t="n">
        <ns0:v>-0.03179140412319931</ns0:v>
      </ns0:c>
      <ns0:c r="M31" s="75" t="n">
        <ns0:v>0.02937968746788878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-0.01069261526219837</ns0:v>
      </ns0:c>
      <ns0:c r="C32" s="75" t="n">
        <ns0:v>-0.1199782762265011</ns0:v>
      </ns0:c>
      <ns0:c r="D32" s="75" t="n">
        <ns0:v>-0.06253368269707932</ns0:v>
      </ns0:c>
      <ns0:c r="E32" s="75" t="n">
        <ns0:v>-0.1225370932661744</ns0:v>
      </ns0:c>
      <ns0:c r="F32" s="75" t="n">
        <ns0:v>0.002724112798399734</ns0:v>
      </ns0:c>
      <ns0:c r="G32" s="75" t="n">
        <ns0:v>0.04417821398290225</ns0:v>
      </ns0:c>
      <ns0:c r="H32" s="74" t="n">
        <ns0:v>-0.5156059641049402</ns0:v>
      </ns0:c>
      <ns0:c r="I32" s="75" t="n">
        <ns0:v>-0.0005859415623554136</ns0:v>
      </ns0:c>
      <ns0:c r="J32" s="75" t="n">
        <ns0:v>0.0104265135505162</ns0:v>
      </ns0:c>
      <ns0:c r="K32" s="75" t="n">
        <ns0:v>-0.0649743865057706</ns0:v>
      </ns0:c>
      <ns0:c r="L32" s="75" t="n">
        <ns0:v>0.05243078242015765</ns0:v>
      </ns0:c>
      <ns0:c r="M32" s="75" t="n">
        <ns0:v>-0.02376716270389762</ns0:v>
      </ns0:c>
    </ns0:row>
    <ns0:row r="33" ht="30" customHeight="1">
      <ns0:c r="A33" s="73" t="inlineStr">
        <ns0:is>
          <ns0:t>حبوبات</ns0:t>
        </ns0:is>
      </ns0:c>
      <ns0:c r="B33" s="75" t="n">
        <ns0:v>-0.07149336556806289</ns0:v>
      </ns0:c>
      <ns0:c r="C33" s="75" t="n">
        <ns0:v>0.01494636348197786</ns0:v>
      </ns0:c>
      <ns0:c r="D33" s="75" t="n">
        <ns0:v>0.04001204414066609</ns0:v>
      </ns0:c>
      <ns0:c r="E33" s="75" t="n">
        <ns0:v>0.2704826858384154</ns0:v>
      </ns0:c>
      <ns0:c r="F33" s="75" t="n">
        <ns0:v>-0.1027040700041246</ns0:v>
      </ns0:c>
      <ns0:c r="G33" s="75" t="n">
        <ns0:v>-0.06284304675706481</ns0:v>
      </ns0:c>
      <ns0:c r="H33" s="75" t="n">
        <ns0:v>-0.13288162176413</ns0:v>
      </ns0:c>
      <ns0:c r="I33" s="74" t="n">
        <ns0:v>-0.6854081030427382</ns0:v>
      </ns0:c>
      <ns0:c r="J33" s="75" t="n">
        <ns0:v>-0.1283942364225867</ns0:v>
      </ns0:c>
      <ns0:c r="K33" s="75" t="n">
        <ns0:v>-0.1813738660079486</ns0:v>
      </ns0:c>
      <ns0:c r="L33" s="75" t="n">
        <ns0:v>0.02930685264010473</ns0:v>
      </ns0:c>
      <ns0:c r="M33" s="75" t="n">
        <ns0:v>0.00390361563021898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-0.1639611915538512</ns0:v>
      </ns0:c>
      <ns0:c r="C34" s="75" t="n">
        <ns0:v>-0.05865044389713365</ns0:v>
      </ns0:c>
      <ns0:c r="D34" s="75" t="n">
        <ns0:v>-0.4489917855898218</ns0:v>
      </ns0:c>
      <ns0:c r="E34" s="75" t="n">
        <ns0:v>0.08615954880142358</ns0:v>
      </ns0:c>
      <ns0:c r="F34" s="75" t="n">
        <ns0:v>-0.02740035627093237</ns0:v>
      </ns0:c>
      <ns0:c r="G34" s="75" t="n">
        <ns0:v>-0.2580217541557026</ns0:v>
      </ns0:c>
      <ns0:c r="H34" s="75" t="n">
        <ns0:v>-0.1699748590197132</ns0:v>
      </ns0:c>
      <ns0:c r="I34" s="75" t="n">
        <ns0:v>-0.1795150207713421</ns0:v>
      </ns0:c>
      <ns0:c r="J34" s="74" t="n">
        <ns0:v>-0.9415601028922655</ns0:v>
      </ns0:c>
      <ns0:c r="K34" s="75" t="n">
        <ns0:v>-0.1262344341590055</ns0:v>
      </ns0:c>
      <ns0:c r="L34" s="75" t="n">
        <ns0:v>-0.2054673803919564</ns0:v>
      </ns0:c>
      <ns0:c r="M34" s="75" t="n">
        <ns0:v>0.08323756556855151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-0.1225203235193872</ns0:v>
      </ns0:c>
      <ns0:c r="C35" s="75" t="n">
        <ns0:v>-0.05246147665569491</ns0:v>
      </ns0:c>
      <ns0:c r="D35" s="75" t="n">
        <ns0:v>-0.001512897899001443</ns0:v>
      </ns0:c>
      <ns0:c r="E35" s="75" t="n">
        <ns0:v>-0.1160403607803556</ns0:v>
      </ns0:c>
      <ns0:c r="F35" s="75" t="n">
        <ns0:v>-0.02235538951475981</ns0:v>
      </ns0:c>
      <ns0:c r="G35" s="75" t="n">
        <ns0:v>0.04590571899682463</ns0:v>
      </ns0:c>
      <ns0:c r="H35" s="75" t="n">
        <ns0:v>-0.1063082419202878</ns0:v>
      </ns0:c>
      <ns0:c r="I35" s="75" t="n">
        <ns0:v>-0.04310647032438724</ns0:v>
      </ns0:c>
      <ns0:c r="J35" s="75" t="n">
        <ns0:v>-0.02041269620394618</ns0:v>
      </ns0:c>
      <ns0:c r="K35" s="74" t="n">
        <ns0:v>-0.5648594960263247</ns0:v>
      </ns0:c>
      <ns0:c r="L35" s="75" t="n">
        <ns0:v>-0.05526585584980465</ns0:v>
      </ns0:c>
      <ns0:c r="M35" s="75" t="n">
        <ns0:v>-5.074143516445443e-05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-0.2616290997309629</ns0:v>
      </ns0:c>
      <ns0:c r="C36" s="75" t="n">
        <ns0:v>0.175799783263194</ns0:v>
      </ns0:c>
      <ns0:c r="D36" s="75" t="n">
        <ns0:v>-0.07356394053117028</ns0:v>
      </ns0:c>
      <ns0:c r="E36" s="75" t="n">
        <ns0:v>0.3142680630517363</ns0:v>
      </ns0:c>
      <ns0:c r="F36" s="75" t="n">
        <ns0:v>-0.09736563978758801</ns0:v>
      </ns0:c>
      <ns0:c r="G36" s="75" t="n">
        <ns0:v>-0.03171963344934509</ns0:v>
      </ns0:c>
      <ns0:c r="H36" s="75" t="n">
        <ns0:v>0.184813249000385</ns0:v>
      </ns0:c>
      <ns0:c r="I36" s="75" t="n">
        <ns0:v>0.08732339048937601</ns0:v>
      </ns0:c>
      <ns0:c r="J36" s="75" t="n">
        <ns0:v>-0.1397021054552624</ns0:v>
      </ns0:c>
      <ns0:c r="K36" s="75" t="n">
        <ns0:v>-0.215963124818731</ns0:v>
      </ns0:c>
      <ns0:c r="L36" s="74" t="n">
        <ns0:v>-0.8539302710324699</ns0:v>
      </ns0:c>
      <ns0:c r="M36" s="75" t="n">
        <ns0:v>0.08951628766860309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0.2294270214572192</ns0:v>
      </ns0:c>
      <ns0:c r="C37" s="75" t="n">
        <ns0:v>-0.1524091820351026</ns0:v>
      </ns0:c>
      <ns0:c r="D37" s="75" t="n">
        <ns0:v>-0.1847820622442589</ns0:v>
      </ns0:c>
      <ns0:c r="E37" s="75" t="n">
        <ns0:v>-0.3497796309998634</ns0:v>
      </ns0:c>
      <ns0:c r="F37" s="75" t="n">
        <ns0:v>-0.05008474519192014</ns0:v>
      </ns0:c>
      <ns0:c r="G37" s="75" t="n">
        <ns0:v>0.0584415405845833</ns0:v>
      </ns0:c>
      <ns0:c r="H37" s="75" t="n">
        <ns0:v>-0.1161958691031774</ns0:v>
      </ns0:c>
      <ns0:c r="I37" s="75" t="n">
        <ns0:v>-0.03846923564399999</ns0:v>
      </ns0:c>
      <ns0:c r="J37" s="75" t="n">
        <ns0:v>0.1934437816406649</ns0:v>
      </ns0:c>
      <ns0:c r="K37" s="75" t="n">
        <ns0:v>-0.04683240697898313</ns0:v>
      </ns0:c>
      <ns0:c r="L37" s="75" t="n">
        <ns0:v>0.01616274256362383</ns0:v>
      </ns0:c>
      <ns0:c r="M37" s="74" t="n">
        <ns0:v>-0.4221121453605002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-1.076671000307448</ns0:v>
      </ns0:c>
      <ns0:c r="C42" s="78" t="n">
        <ns0:v>0.01747231789048169</ns0:v>
      </ns0:c>
      <ns0:c r="D42" s="78" t="n">
        <ns0:v>-0.115670598260976</ns0:v>
      </ns0:c>
      <ns0:c r="E42" s="78" t="n">
        <ns0:v>0.008223528266495118</ns0:v>
      </ns0:c>
      <ns0:c r="F42" s="78" t="n">
        <ns0:v>-0.05125004401247196</ns0:v>
      </ns0:c>
      <ns0:c r="G42" s="78" t="n">
        <ns0:v>-0.08258658087045591</ns0:v>
      </ns0:c>
      <ns0:c r="H42" s="78" t="n">
        <ns0:v>-0.1100913650044181</ns0:v>
      </ns0:c>
      <ns0:c r="I42" s="78" t="n">
        <ns0:v>-0.03282122265910056</ns0:v>
      </ns0:c>
      <ns0:c r="J42" s="78" t="n">
        <ns0:v>-0.009355646501891598</ns0:v>
      </ns0:c>
      <ns0:c r="K42" s="78" t="n">
        <ns0:v>-0.09110005372812748</ns0:v>
      </ns0:c>
      <ns0:c r="L42" s="78" t="n">
        <ns0:v>-0.1279250523496431</ns0:v>
      </ns0:c>
      <ns0:c r="M42" s="78" t="n">
        <ns0:v>0.05059851357063525</ns0:v>
      </ns0:c>
    </ns0:row>
    <ns0:row r="43" ht="30" customHeight="1">
      <ns0:c r="A43" s="73" t="inlineStr">
        <ns0:is>
          <ns0:t>نان و غلات</ns0:t>
        </ns0:is>
      </ns0:c>
      <ns0:c r="B43" s="78" t="n">
        <ns0:v>0.152051539436957</ns0:v>
      </ns0:c>
      <ns0:c r="C43" s="77" t="n">
        <ns0:v>-0.5199990162586937</ns0:v>
      </ns0:c>
      <ns0:c r="D43" s="78" t="n">
        <ns0:v>0.3439558750124598</ns0:v>
      </ns0:c>
      <ns0:c r="E43" s="78" t="n">
        <ns0:v>-0.1140102272271143</ns0:v>
      </ns0:c>
      <ns0:c r="F43" s="78" t="n">
        <ns0:v>0.02397162386693864</ns0:v>
      </ns0:c>
      <ns0:c r="G43" s="78" t="n">
        <ns0:v>0.04859828633903736</ns0:v>
      </ns0:c>
      <ns0:c r="H43" s="78" t="n">
        <ns0:v>-0.07107895684717436</ns0:v>
      </ns0:c>
      <ns0:c r="I43" s="78" t="n">
        <ns0:v>0.0572759927626799</ns0:v>
      </ns0:c>
      <ns0:c r="J43" s="78" t="n">
        <ns0:v>0.04601920698075968</ns0:v>
      </ns0:c>
      <ns0:c r="K43" s="78" t="n">
        <ns0:v>0.007646390596201208</ns0:v>
      </ns0:c>
      <ns0:c r="L43" s="78" t="n">
        <ns0:v>0.1262619548921296</ns0:v>
      </ns0:c>
      <ns0:c r="M43" s="78" t="n">
        <ns0:v>-0.04570978642708385</ns0:v>
      </ns0:c>
    </ns0:row>
    <ns0:row r="44" ht="30" customHeight="1">
      <ns0:c r="A44" s="73" t="inlineStr">
        <ns0:is>
          <ns0:t>گوشت</ns0:t>
        </ns0:is>
      </ns0:c>
      <ns0:c r="B44" s="78" t="n">
        <ns0:v>0.001557280773755113</ns0:v>
      </ns0:c>
      <ns0:c r="C44" s="78" t="n">
        <ns0:v>0.02334340811428522</ns0:v>
      </ns0:c>
      <ns0:c r="D44" s="77" t="n">
        <ns0:v>-0.9381073657661653</ns0:v>
      </ns0:c>
      <ns0:c r="E44" s="78" t="n">
        <ns0:v>-0.02771455013582752</ns0:v>
      </ns0:c>
      <ns0:c r="F44" s="78" t="n">
        <ns0:v>-0.08380835543791389</ns0:v>
      </ns0:c>
      <ns0:c r="G44" s="78" t="n">
        <ns0:v>-0.004650904800299021</ns0:v>
      </ns0:c>
      <ns0:c r="H44" s="78" t="n">
        <ns0:v>-0.09945663443533076</ns0:v>
      </ns0:c>
      <ns0:c r="I44" s="78" t="n">
        <ns0:v>-0.02116861773320075</ns0:v>
      </ns0:c>
      <ns0:c r="J44" s="78" t="n">
        <ns0:v>-0.03751348136369836</ns0:v>
      </ns0:c>
      <ns0:c r="K44" s="78" t="n">
        <ns0:v>-0.004367891363057361</ns0:v>
      </ns0:c>
      <ns0:c r="L44" s="78" t="n">
        <ns0:v>-0.04526919604934469</ns0:v>
      </ns0:c>
      <ns0:c r="M44" s="78" t="n">
        <ns0:v>-0.04527265340241357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0.09205549996106441</ns0:v>
      </ns0:c>
      <ns0:c r="C45" s="78" t="n">
        <ns0:v>-0.1505350279767764</ns0:v>
      </ns0:c>
      <ns0:c r="D45" s="78" t="n">
        <ns0:v>0.0518373390462317</ns0:v>
      </ns0:c>
      <ns0:c r="E45" s="77" t="n">
        <ns0:v>-0.8187993973539186</ns0:v>
      </ns0:c>
      <ns0:c r="F45" s="78" t="n">
        <ns0:v>-0.005238755060709817</ns0:v>
      </ns0:c>
      <ns0:c r="G45" s="78" t="n">
        <ns0:v>0.02945055267353011</ns0:v>
      </ns0:c>
      <ns0:c r="H45" s="78" t="n">
        <ns0:v>-0.123277478748972</ns0:v>
      </ns0:c>
      <ns0:c r="I45" s="78" t="n">
        <ns0:v>0.03820788819686362</ns0:v>
      </ns0:c>
      <ns0:c r="J45" s="78" t="n">
        <ns0:v>0.08928866861070812</ns0:v>
      </ns0:c>
      <ns0:c r="K45" s="78" t="n">
        <ns0:v>-0.04355104573139344</ns0:v>
      </ns0:c>
      <ns0:c r="L45" s="78" t="n">
        <ns0:v>0.09355509008475982</ns0:v>
      </ns0:c>
      <ns0:c r="M45" s="78" t="n">
        <ns0:v>-0.09793193456943745</ns0:v>
      </ns0:c>
    </ns0:row>
    <ns0:row r="46" ht="30" customHeight="1">
      <ns0:c r="A46" s="73" t="inlineStr">
        <ns0:is>
          <ns0:t>روغن و چربی</ns0:t>
        </ns0:is>
      </ns0:c>
      <ns0:c r="B46" s="78" t="n">
        <ns0:v>-0.0005507783668168397</ns0:v>
      </ns0:c>
      <ns0:c r="C46" s="78" t="n">
        <ns0:v>-0.08326104568384256</ns0:v>
      </ns0:c>
      <ns0:c r="D46" s="78" t="n">
        <ns0:v>-0.1832693575414481</ns0:v>
      </ns0:c>
      <ns0:c r="E46" s="78" t="n">
        <ns0:v>0.09809134601839681</ns0:v>
      </ns0:c>
      <ns0:c r="F46" s="77" t="n">
        <ns0:v>-0.6156957436817826</ns0:v>
      </ns0:c>
      <ns0:c r="G46" s="78" t="n">
        <ns0:v>-0.05007782471049259</ns0:v>
      </ns0:c>
      <ns0:c r="H46" s="78" t="n">
        <ns0:v>-0.1207910712369382</ns0:v>
      </ns0:c>
      <ns0:c r="I46" s="78" t="n">
        <ns0:v>-0.119679398711266</ns0:v>
      </ns0:c>
      <ns0:c r="J46" s="78" t="n">
        <ns0:v>0.02815697960885691</ns0:v>
      </ns0:c>
      <ns0:c r="K46" s="78" t="n">
        <ns0:v>-0.01808115512427873</ns0:v>
      </ns0:c>
      <ns0:c r="L46" s="78" t="n">
        <ns0:v>-0.06858962306150647</ns0:v>
      </ns0:c>
      <ns0:c r="M46" s="78" t="n">
        <ns0:v>-0.007494416782597432</ns0:v>
      </ns0:c>
    </ns0:row>
    <ns0:row r="47" ht="30" customHeight="1">
      <ns0:c r="A47" s="73" t="inlineStr">
        <ns0:is>
          <ns0:t>میوه</ns0:t>
        </ns0:is>
      </ns0:c>
      <ns0:c r="B47" s="78" t="n">
        <ns0:v>-0.1649876131209202</ns0:v>
      </ns0:c>
      <ns0:c r="C47" s="78" t="n">
        <ns0:v>-0.009719063405046434</ns0:v>
      </ns0:c>
      <ns0:c r="D47" s="78" t="n">
        <ns0:v>-0.009728203234386586</ns0:v>
      </ns0:c>
      <ns0:c r="E47" s="78" t="n">
        <ns0:v>0.04365685959384963</ns0:v>
      </ns0:c>
      <ns0:c r="F47" s="78" t="n">
        <ns0:v>-0.1017239417468155</ns0:v>
      </ns0:c>
      <ns0:c r="G47" s="77" t="n">
        <ns0:v>-1.060776619480299</ns0:v>
      </ns0:c>
      <ns0:c r="H47" s="78" t="n">
        <ns0:v>0.1109875967458987</ns0:v>
      </ns0:c>
      <ns0:c r="I47" s="78" t="n">
        <ns0:v>-0.05176190078299089</ns0:v>
      </ns0:c>
      <ns0:c r="J47" s="78" t="n">
        <ns0:v>-0.2041065947354622</ns0:v>
      </ns0:c>
      <ns0:c r="K47" s="78" t="n">
        <ns0:v>0.05089502890760096</ns0:v>
      </ns0:c>
      <ns0:c r="L47" s="78" t="n">
        <ns0:v>-0.03055400387218652</ns0:v>
      </ns0:c>
      <ns0:c r="M47" s="78" t="n">
        <ns0:v>0.02631223449739531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-0.01122898155992153</ns0:v>
      </ns0:c>
      <ns0:c r="C48" s="78" t="n">
        <ns0:v>-0.1134061219490257</ns0:v>
      </ns0:c>
      <ns0:c r="D48" s="78" t="n">
        <ns0:v>-0.04906207322398008</ns0:v>
      </ns0:c>
      <ns0:c r="E48" s="78" t="n">
        <ns0:v>-0.1132965951991652</ns0:v>
      </ns0:c>
      <ns0:c r="F48" s="78" t="n">
        <ns0:v>0.004674822631343578</ns0:v>
      </ns0:c>
      <ns0:c r="G48" s="78" t="n">
        <ns0:v>0.04529792007975959</ns0:v>
      </ns0:c>
      <ns0:c r="H48" s="77" t="n">
        <ns0:v>-0.5012010683275429</ns0:v>
      </ns0:c>
      <ns0:c r="I48" s="78" t="n">
        <ns0:v>0.002385444489739013</ns0:v>
      </ns0:c>
      <ns0:c r="J48" s="78" t="n">
        <ns0:v>0.007066049081588499</ns0:v>
      </ns0:c>
      <ns0:c r="K48" s="78" t="n">
        <ns0:v>-0.05862752051453177</ns0:v>
      </ns0:c>
      <ns0:c r="L48" s="78" t="n">
        <ns0:v>0.05330564933804452</ns0:v>
      </ns0:c>
      <ns0:c r="M48" s="78" t="n">
        <ns0:v>-0.02104423928688085</ns0:v>
      </ns0:c>
    </ns0:row>
    <ns0:row r="49" ht="30" customHeight="1">
      <ns0:c r="A49" s="73" t="inlineStr">
        <ns0:is>
          <ns0:t>حبوبات</ns0:t>
        </ns0:is>
      </ns0:c>
      <ns0:c r="B49" s="78" t="n">
        <ns0:v>-0.08596058093392524</ns0:v>
      </ns0:c>
      <ns0:c r="C49" s="78" t="n">
        <ns0:v>-0.02374770885493189</ns0:v>
      </ns0:c>
      <ns0:c r="D49" s="78" t="n">
        <ns0:v>-0.01734925063163006</ns0:v>
      </ns0:c>
      <ns0:c r="E49" s="78" t="n">
        <ns0:v>0.2219158615248168</ns0:v>
      </ns0:c>
      <ns0:c r="F49" s="78" t="n">
        <ns0:v>-0.1185435875983712</ns0:v>
      </ns0:c>
      <ns0:c r="G49" s="78" t="n">
        <ns0:v>-0.07638460155506224</ns0:v>
      </ns0:c>
      <ns0:c r="H49" s="78" t="n">
        <ns0:v>-0.1622539138634074</ns0:v>
      </ns0:c>
      <ns0:c r="I49" s="77" t="n">
        <ns0:v>-0.7103196066012234</ns0:v>
      </ns0:c>
      <ns0:c r="J49" s="78" t="n">
        <ns0:v>-0.1159358028011751</ns0:v>
      </ns0:c>
      <ns0:c r="K49" s="78" t="n">
        <ns0:v>-0.1898172481678929</ns0:v>
      </ns0:c>
      <ns0:c r="L49" s="78" t="n">
        <ns0:v>0.01139056637576512</ns0:v>
      </ns0:c>
      <ns0:c r="M49" s="78" t="n">
        <ns0:v>-0.005951176390306377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-0.1212767189255669</ns0:v>
      </ns0:c>
      <ns0:c r="C50" s="78" t="n">
        <ns0:v>0.01679093212031861</ns0:v>
      </ns0:c>
      <ns0:c r="D50" s="78" t="n">
        <ns0:v>-0.3115840735847842</ns0:v>
      </ns0:c>
      <ns0:c r="E50" s="78" t="n">
        <ns0:v>0.2190794339914823</ns0:v>
      </ns0:c>
      <ns0:c r="F50" s="78" t="n">
        <ns0:v>0.008727983136676741</ns0:v>
      </ns0:c>
      <ns0:c r="G50" s="78" t="n">
        <ns0:v>-0.2340915696015133</ns0:v>
      </ns0:c>
      <ns0:c r="H50" s="78" t="n">
        <ns0:v>-0.08891311969917909</ns0:v>
      </ns0:c>
      <ns0:c r="I50" s="78" t="n">
        <ns0:v>-0.1401982093132977</ns0:v>
      </ns0:c>
      <ns0:c r="J50" s="77" t="n">
        <ns0:v>-0.9564193668955429</ns0:v>
      </ns0:c>
      <ns0:c r="K50" s="78" t="n">
        <ns0:v>-0.09529755759568637</ns0:v>
      </ns0:c>
      <ns0:c r="L50" s="78" t="n">
        <ns0:v>-0.1697503730669163</ns0:v>
      </ns0:c>
      <ns0:c r="M50" s="78" t="n">
        <ns0:v>0.0974509509922958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-0.1051930456376516</ns0:v>
      </ns0:c>
      <ns0:c r="C51" s="78" t="n">
        <ns0:v>-0.05278089111402996</ns0:v>
      </ns0:c>
      <ns0:c r="D51" s="78" t="n">
        <ns0:v>0.001634646357737309</ns0:v>
      </ns0:c>
      <ns0:c r="E51" s="78" t="n">
        <ns0:v>-0.11153985710119</ns0:v>
      </ns0:c>
      <ns0:c r="F51" s="78" t="n">
        <ns0:v>-0.0123031323040017</ns0:v>
      </ns0:c>
      <ns0:c r="G51" s="78" t="n">
        <ns0:v>0.04872039267248277</ns0:v>
      </ns0:c>
      <ns0:c r="H51" s="78" t="n">
        <ns0:v>-0.1037576186221693</ns0:v>
      </ns0:c>
      <ns0:c r="I51" s="78" t="n">
        <ns0:v>-0.03605258794499434</ns0:v>
      </ns0:c>
      <ns0:c r="J51" s="78" t="n">
        <ns0:v>-0.03190894971609832</ns0:v>
      </ns0:c>
      <ns0:c r="K51" s="77" t="n">
        <ns0:v>-0.5630035892828724</ns0:v>
      </ns0:c>
      <ns0:c r="L51" s="78" t="n">
        <ns0:v>-0.05543754211620421</ns0:v>
      </ns0:c>
      <ns0:c r="M51" s="78" t="n">
        <ns0:v>-0.001910344083266602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-0.284651147338906</ns0:v>
      </ns0:c>
      <ns0:c r="C52" s="78" t="n">
        <ns0:v>0.1549605872508867</ns0:v>
      </ns0:c>
      <ns0:c r="D52" s="78" t="n">
        <ns0:v>-0.1103951351039551</ns0:v>
      </ns0:c>
      <ns0:c r="E52" s="78" t="n">
        <ns0:v>0.2757812625040215</ns0:v>
      </ns0:c>
      <ns0:c r="F52" s="78" t="n">
        <ns0:v>-0.1085022768544102</ns0:v>
      </ns0:c>
      <ns0:c r="G52" s="78" t="n">
        <ns0:v>-0.04051105793226185</ns0:v>
      </ns0:c>
      <ns0:c r="H52" s="78" t="n">
        <ns0:v>0.1536602751443373</ns0:v>
      </ns0:c>
      <ns0:c r="I52" s="78" t="n">
        <ns0:v>0.07167059164170224</ns0:v>
      </ns0:c>
      <ns0:c r="J52" s="78" t="n">
        <ns0:v>-0.130913924316524</ns0:v>
      </ns0:c>
      <ns0:c r="K52" s="78" t="n">
        <ns0:v>-0.2271990398220657</ns0:v>
      </ns0:c>
      <ns0:c r="L52" s="77" t="n">
        <ns0:v>-0.8636756353940883</ns0:v>
      </ns0:c>
      <ns0:c r="M52" s="78" t="n">
        <ns0:v>0.07993663754119627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0.239872108436236</ns0:v>
      </ns0:c>
      <ns0:c r="C53" s="78" t="n">
        <ns0:v>-0.1258246863994587</ns0:v>
      </ns0:c>
      <ns0:c r="D53" s="78" t="n">
        <ns0:v>-0.1530675411069904</ns0:v>
      </ns0:c>
      <ns0:c r="E53" s="78" t="n">
        <ns0:v>-0.3176352640422089</ns0:v>
      </ns0:c>
      <ns0:c r="F53" s="78" t="n">
        <ns0:v>-0.04199389631422187</ns0:v>
      </ns0:c>
      <ns0:c r="G53" s="78" t="n">
        <ns0:v>0.06422677365102546</ns0:v>
      </ns0:c>
      <ns0:c r="H53" s="78" t="n">
        <ns0:v>-0.09048238252313279</ns0:v>
      </ns0:c>
      <ns0:c r="I53" s="78" t="n">
        <ns0:v>-0.03349891942463597</ns0:v>
      </ns0:c>
      <ns0:c r="J53" s="78" t="n">
        <ns0:v>0.1844902495651923</ns0:v>
      </ns0:c>
      <ns0:c r="K53" s="78" t="n">
        <ns0:v>-0.03564524269723054</ns0:v>
      </ns0:c>
      <ns0:c r="L53" s="78" t="n">
        <ns0:v>0.02244178643602022</ns0:v>
      </ns0:c>
      <ns0:c r="M53" s="77" t="n">
        <ns0:v>-0.4186566010319196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12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سال 1402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-1.08</ns0:v>
      </ns0:c>
      <ns0:c r="C6" s="69" t="n">
        <ns0:v>-1.0776</ns0:v>
      </ns0:c>
      <ns0:c r="D6" s="70" t="n">
        <ns0:v>1.5675</ns0:v>
      </ns0:c>
      <ns0:c r="E6" s="69" t="n">
        <ns0:v>1.6251</ns0:v>
      </ns0:c>
    </ns0:row>
    <ns0:row r="7" ht="23" customHeight="1">
      <ns0:c r="A7" s="28" t="inlineStr">
        <ns0:is>
          <ns0:t>نان و غلات</ns0:t>
        </ns0:is>
      </ns0:c>
      <ns0:c r="B7" s="68" t="n">
        <ns0:v>-0.5372</ns0:v>
      </ns0:c>
      <ns0:c r="C7" s="69" t="n">
        <ns0:v>-0.4829</ns0:v>
      </ns0:c>
      <ns0:c r="D7" s="70" t="n">
        <ns0:v>0.0591</ns0:v>
      </ns0:c>
      <ns0:c r="E7" s="69" t="n">
        <ns0:v>-0.1052</ns0:v>
      </ns0:c>
    </ns0:row>
    <ns0:row r="8" ht="23" customHeight="1">
      <ns0:c r="A8" s="28" t="inlineStr">
        <ns0:is>
          <ns0:t>گوشت</ns0:t>
        </ns0:is>
      </ns0:c>
      <ns0:c r="B8" s="68" t="n">
        <ns0:v>-0.9393</ns0:v>
      </ns0:c>
      <ns0:c r="C8" s="69" t="n">
        <ns0:v>-0.9500999999999999</ns0:v>
      </ns0:c>
      <ns0:c r="D8" s="70" t="n">
        <ns0:v>1.2375</ns0:v>
      </ns0:c>
      <ns0:c r="E8" s="69" t="n">
        <ns0:v>1.2559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-0.8264</ns0:v>
      </ns0:c>
      <ns0:c r="C9" s="69" t="n">
        <ns0:v>-0.8195</ns0:v>
      </ns0:c>
      <ns0:c r="D9" s="70" t="n">
        <ns0:v>0.8695000000000001</ns0:v>
      </ns0:c>
      <ns0:c r="E9" s="69" t="n">
        <ns0:v>0.8481</ns0:v>
      </ns0:c>
    </ns0:row>
    <ns0:row r="10" ht="23" customHeight="1">
      <ns0:c r="A10" s="28" t="inlineStr">
        <ns0:is>
          <ns0:t>روغن و چربی</ns0:t>
        </ns0:is>
      </ns0:c>
      <ns0:c r="B10" s="68" t="n">
        <ns0:v>-0.5393</ns0:v>
      </ns0:c>
      <ns0:c r="C10" s="69" t="n">
        <ns0:v>-0.5416</ns0:v>
      </ns0:c>
      <ns0:c r="D10" s="70" t="n">
        <ns0:v>0.8325</ns0:v>
      </ns0:c>
      <ns0:c r="E10" s="69" t="n">
        <ns0:v>1.0832</ns0:v>
      </ns0:c>
    </ns0:row>
    <ns0:row r="11" ht="23" customHeight="1">
      <ns0:c r="A11" s="28" t="inlineStr">
        <ns0:is>
          <ns0:t>میوه</ns0:t>
        </ns0:is>
      </ns0:c>
      <ns0:c r="B11" s="68" t="n">
        <ns0:v>-1.0627</ns0:v>
      </ns0:c>
      <ns0:c r="C11" s="69" t="n">
        <ns0:v>-1.057</ns0:v>
      </ns0:c>
      <ns0:c r="D11" s="70" t="n">
        <ns0:v>1.3581</ns0:v>
      </ns0:c>
      <ns0:c r="E11" s="69" t="n">
        <ns0:v>1.3844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-0.4804</ns0:v>
      </ns0:c>
      <ns0:c r="C12" s="69" t="n">
        <ns0:v>-0.4658</ns0:v>
      </ns0:c>
      <ns0:c r="D12" s="70" t="n">
        <ns0:v>0.7798</ns0:v>
      </ns0:c>
      <ns0:c r="E12" s="69" t="n">
        <ns0:v>0.7212</ns0:v>
      </ns0:c>
    </ns0:row>
    <ns0:row r="13" ht="23" customHeight="1">
      <ns0:c r="A13" s="28" t="inlineStr">
        <ns0:is>
          <ns0:t>حبوبات</ns0:t>
        </ns0:is>
      </ns0:c>
      <ns0:c r="B13" s="68" t="n">
        <ns0:v>-0.6854</ns0:v>
      </ns0:c>
      <ns0:c r="C13" s="69" t="n">
        <ns0:v>-0.7089</ns0:v>
      </ns0:c>
      <ns0:c r="D13" s="70" t="n">
        <ns0:v>1.0308</ns0:v>
      </ns0:c>
      <ns0:c r="E13" s="69" t="n">
        <ns0:v>1.3024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-0.9298999999999999</ns0:v>
      </ns0:c>
      <ns0:c r="C14" s="69" t="n">
        <ns0:v>-0.9489</ns0:v>
      </ns0:c>
      <ns0:c r="D14" s="70" t="n">
        <ns0:v>2.257</ns0:v>
      </ns0:c>
      <ns0:c r="E14" s="69" t="n">
        <ns0:v>1.6202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-0.5733</ns0:v>
      </ns0:c>
      <ns0:c r="C15" s="69" t="n">
        <ns0:v>-0.5705</ns0:v>
      </ns0:c>
      <ns0:c r="D15" s="70" t="n">
        <ns0:v>1.0419</ns0:v>
      </ns0:c>
      <ns0:c r="E15" s="69" t="n">
        <ns0:v>1.0029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-0.869</ns0:v>
      </ns0:c>
      <ns0:c r="C16" s="69" t="n">
        <ns0:v>-0.8792</ns0:v>
      </ns0:c>
      <ns0:c r="D16" s="70" t="n">
        <ns0:v>0.9598</ns0:v>
      </ns0:c>
      <ns0:c r="E16" s="69" t="n">
        <ns0:v>1.1746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-0.4056</ns0:v>
      </ns0:c>
      <ns0:c r="C17" s="69" t="n">
        <ns0:v>-0.4023</ns0:v>
      </ns0:c>
      <ns0:c r="D17" s="70" t="n">
        <ns0:v>0.8689</ns0:v>
      </ns0:c>
      <ns0:c r="E17" s="69" t="n">
        <ns0:v>0.7036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-1.080021945770169</ns0:v>
      </ns0:c>
      <ns0:c r="C26" s="75" t="n">
        <ns0:v>0.0303950706871958</ns0:v>
      </ns0:c>
      <ns0:c r="D26" s="75" t="n">
        <ns0:v>-0.1125664028724775</ns0:v>
      </ns0:c>
      <ns0:c r="E26" s="75" t="n">
        <ns0:v>0.02002343227889821</ns0:v>
      </ns0:c>
      <ns0:c r="F26" s="75" t="n">
        <ns0:v>-0.04110781377328622</ns0:v>
      </ns0:c>
      <ns0:c r="G26" s="75" t="n">
        <ns0:v>-0.08223992033135558</ns0:v>
      </ns0:c>
      <ns0:c r="H26" s="75" t="n">
        <ns0:v>-0.09276344056668784</ns0:v>
      </ns0:c>
      <ns0:c r="I26" s="75" t="n">
        <ns0:v>-0.0260019761719489</ns0:v>
      </ns0:c>
      <ns0:c r="J26" s="75" t="n">
        <ns0:v>-0.01164548208508773</ns0:v>
      </ns0:c>
      <ns0:c r="K26" s="75" t="n">
        <ns0:v>-0.09276650172473369</ns0:v>
      </ns0:c>
      <ns0:c r="L26" s="75" t="n">
        <ns0:v>-0.1255241617602945</ns0:v>
      </ns0:c>
      <ns0:c r="M26" s="75" t="n">
        <ns0:v>0.0527150721473602</ns0:v>
      </ns0:c>
    </ns0:row>
    <ns0:row r="27" ht="30" customHeight="1">
      <ns0:c r="A27" s="73" t="inlineStr">
        <ns0:is>
          <ns0:t>نان و غلات</ns0:t>
        </ns0:is>
      </ns0:c>
      <ns0:c r="B27" s="75" t="n">
        <ns0:v>0.1729845398239635</ns0:v>
      </ns0:c>
      <ns0:c r="C27" s="74" t="n">
        <ns0:v>-0.5372443843864185</ns0:v>
      </ns0:c>
      <ns0:c r="D27" s="75" t="n">
        <ns0:v>0.3588315641894562</ns0:v>
      </ns0:c>
      <ns0:c r="E27" s="75" t="n">
        <ns0:v>-0.1523324409395718</ns0:v>
      </ns0:c>
      <ns0:c r="F27" s="75" t="n">
        <ns0:v>0.03130914038449548</ns0:v>
      </ns0:c>
      <ns0:c r="G27" s="75" t="n">
        <ns0:v>0.05113383632394767</ns0:v>
      </ns0:c>
      <ns0:c r="H27" s="75" t="n">
        <ns0:v>-0.112385584288495</ns0:v>
      </ns0:c>
      <ns0:c r="I27" s="75" t="n">
        <ns0:v>0.0590019190405754</ns0:v>
      </ns0:c>
      <ns0:c r="J27" s="75" t="n">
        <ns0:v>0.03025798893788135</ns0:v>
      </ns0:c>
      <ns0:c r="K27" s="75" t="n">
        <ns0:v>-0.009023416938245033</ns0:v>
      </ns0:c>
      <ns0:c r="L27" s="75" t="n">
        <ns0:v>0.1321802613114311</ns0:v>
      </ns0:c>
      <ns0:c r="M27" s="75" t="n">
        <ns0:v>-0.06008855363377096</ns0:v>
      </ns0:c>
    </ns0:row>
    <ns0:row r="28" ht="30" customHeight="1">
      <ns0:c r="A28" s="73" t="inlineStr">
        <ns0:is>
          <ns0:t>گوشت</ns0:t>
        </ns0:is>
      </ns0:c>
      <ns0:c r="B28" s="75" t="n">
        <ns0:v>0.003577166906513466</ns0:v>
      </ns0:c>
      <ns0:c r="C28" s="75" t="n">
        <ns0:v>0.02341917860935178</ns0:v>
      </ns0:c>
      <ns0:c r="D28" s="74" t="n">
        <ns0:v>-0.9393242683660985</ns0:v>
      </ns0:c>
      <ns0:c r="E28" s="75" t="n">
        <ns0:v>-0.02061957055975547</ns0:v>
      </ns0:c>
      <ns0:c r="F28" s="75" t="n">
        <ns0:v>-0.08012022322265888</ns0:v>
      </ns0:c>
      <ns0:c r="G28" s="75" t="n">
        <ns0:v>-0.005129112775947312</ns0:v>
      </ns0:c>
      <ns0:c r="H28" s="75" t="n">
        <ns0:v>-0.08669401940695244</ns0:v>
      </ns0:c>
      <ns0:c r="I28" s="75" t="n">
        <ns0:v>-0.01889991879665629</ns0:v>
      </ns0:c>
      <ns0:c r="J28" s="75" t="n">
        <ns0:v>-0.03328894031213677</ns0:v>
      </ns0:c>
      <ns0:c r="K28" s="75" t="n">
        <ns0:v>0.001121003038674741</ns0:v>
      </ns0:c>
      <ns0:c r="L28" s="75" t="n">
        <ns0:v>-0.0432335380004933</ns0:v>
      </ns0:c>
      <ns0:c r="M28" s="75" t="n">
        <ns0:v>-0.03982483488257149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0.09073696629569984</ns0:v>
      </ns0:c>
      <ns0:c r="C29" s="75" t="n">
        <ns0:v>-0.1563231943547212</ns0:v>
      </ns0:c>
      <ns0:c r="D29" s="75" t="n">
        <ns0:v>0.05390273742832333</ns0:v>
      </ns0:c>
      <ns0:c r="E29" s="74" t="n">
        <ns0:v>-0.82641780494242</ns0:v>
      </ns0:c>
      <ns0:c r="F29" s="75" t="n">
        <ns0:v>0.004901475169310828</ns0:v>
      </ns0:c>
      <ns0:c r="G29" s="75" t="n">
        <ns0:v>0.02905549353300666</ns0:v>
      </ns0:c>
      <ns0:c r="H29" s="75" t="n">
        <ns0:v>-0.129196600667736</ns0:v>
      </ns0:c>
      <ns0:c r="I29" s="75" t="n">
        <ns0:v>0.03826697049067292</ns0:v>
      </ns0:c>
      <ns0:c r="J29" s="75" t="n">
        <ns0:v>0.07575256279661752</ns0:v>
      </ns0:c>
      <ns0:c r="K29" s="75" t="n">
        <ns0:v>-0.0402579568631426</ns0:v>
      </ns0:c>
      <ns0:c r="L29" s="75" t="n">
        <ns0:v>0.09451679239660897</ns0:v>
      </ns0:c>
      <ns0:c r="M29" s="75" t="n">
        <ns0:v>-0.1024703422976502</ns0:v>
      </ns0:c>
    </ns0:row>
    <ns0:row r="30" ht="30" customHeight="1">
      <ns0:c r="A30" s="73" t="inlineStr">
        <ns0:is>
          <ns0:t>روغن و چربی</ns0:t>
        </ns0:is>
      </ns0:c>
      <ns0:c r="B30" s="75" t="n">
        <ns0:v>0.008658130292574831</ns0:v>
      </ns0:c>
      <ns0:c r="C30" s="75" t="n">
        <ns0:v>-0.04445704445155291</ns0:v>
      </ns0:c>
      <ns0:c r="D30" s="75" t="n">
        <ns0:v>-0.1646620475007561</ns0:v>
      </ns0:c>
      <ns0:c r="E30" s="75" t="n">
        <ns0:v>0.1427685942875985</ns0:v>
      </ns0:c>
      <ns0:c r="F30" s="74" t="n">
        <ns0:v>-0.5392824579718292</ns0:v>
      </ns0:c>
      <ns0:c r="G30" s="75" t="n">
        <ns0:v>-0.04221780415318968</ns0:v>
      </ns0:c>
      <ns0:c r="H30" s="75" t="n">
        <ns0:v>-0.07817905590915052</ns0:v>
      </ns0:c>
      <ns0:c r="I30" s="75" t="n">
        <ns0:v>-0.1093451129423555</ns0:v>
      </ns0:c>
      <ns0:c r="J30" s="75" t="n">
        <ns0:v>0.05195203601609728</ns0:v>
      </ns0:c>
      <ns0:c r="K30" s="75" t="n">
        <ns0:v>-0.01398088064900407</ns0:v>
      </ns0:c>
      <ns0:c r="L30" s="75" t="n">
        <ns0:v>-0.06962401962020986</ns0:v>
      </ns0:c>
      <ns0:c r="M30" s="75" t="n">
        <ns0:v>-0.002648179513895892</ns0:v>
      </ns0:c>
    </ns0:row>
    <ns0:row r="31" ht="30" customHeight="1">
      <ns0:c r="A31" s="73" t="inlineStr">
        <ns0:is>
          <ns0:t>میوه</ns0:t>
        </ns0:is>
      </ns0:c>
      <ns0:c r="B31" s="75" t="n">
        <ns0:v>-0.1660080398416388</ns0:v>
      </ns0:c>
      <ns0:c r="C31" s="75" t="n">
        <ns0:v>-0.002762957192604281</ns0:v>
      </ns0:c>
      <ns0:c r="D31" s="75" t="n">
        <ns0:v>-0.01410105265224166</ns0:v>
      </ns0:c>
      <ns0:c r="E31" s="75" t="n">
        <ns0:v>0.04918596906543847</ns0:v>
      </ns0:c>
      <ns0:c r="F31" s="75" t="n">
        <ns0:v>-0.09512160328619512</ns0:v>
      </ns0:c>
      <ns0:c r="G31" s="74" t="n">
        <ns0:v>-1.062725727555105</ns0:v>
      </ns0:c>
      <ns0:c r="H31" s="75" t="n">
        <ns0:v>0.1217664488734988</ns0:v>
      </ns0:c>
      <ns0:c r="I31" s="75" t="n">
        <ns0:v>-0.05061313361221432</ns0:v>
      </ns0:c>
      <ns0:c r="J31" s="75" t="n">
        <ns0:v>-0.2025087288839905</ns0:v>
      </ns0:c>
      <ns0:c r="K31" s="75" t="n">
        <ns0:v>0.05466212131616274</ns0:v>
      </ns0:c>
      <ns0:c r="L31" s="75" t="n">
        <ns0:v>-0.03254053160499114</ns0:v>
      </ns0:c>
      <ns0:c r="M31" s="75" t="n">
        <ns0:v>0.03011624965871667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-0.0106232074606383</ns0:v>
      </ns0:c>
      <ns0:c r="C32" s="75" t="n">
        <ns0:v>-0.129881791838099</ns0:v>
      </ns0:c>
      <ns0:c r="D32" s="75" t="n">
        <ns0:v>-0.05941031069348968</ns0:v>
      </ns0:c>
      <ns0:c r="E32" s="75" t="n">
        <ns0:v>-0.1299531303685294</ns0:v>
      </ns0:c>
      <ns0:c r="F32" s="75" t="n">
        <ns0:v>-0.001274665482420569</ns0:v>
      </ns0:c>
      <ns0:c r="G32" s="75" t="n">
        <ns0:v>0.04631820939632056</ns0:v>
      </ns0:c>
      <ns0:c r="H32" s="74" t="n">
        <ns0:v>-0.4804189315034726</ns0:v>
      </ns0:c>
      <ns0:c r="I32" s="75" t="n">
        <ns0:v>-0.001435214085125335</ns0:v>
      </ns0:c>
      <ns0:c r="J32" s="75" t="n">
        <ns0:v>0.01210340192789221</ns0:v>
      </ns0:c>
      <ns0:c r="K32" s="75" t="n">
        <ns0:v>-0.07001154079901532</ns0:v>
      </ns0:c>
      <ns0:c r="L32" s="75" t="n">
        <ns0:v>0.05671381766247032</ns0:v>
      </ns0:c>
      <ns0:c r="M32" s="75" t="n">
        <ns0:v>-0.02882824154502431</ns0:v>
      </ns0:c>
    </ns0:row>
    <ns0:row r="33" ht="30" customHeight="1">
      <ns0:c r="A33" s="73" t="inlineStr">
        <ns0:is>
          <ns0:t>حبوبات</ns0:t>
        </ns0:is>
      </ns0:c>
      <ns0:c r="B33" s="75" t="n">
        <ns0:v>-0.06772506267661774</ns0:v>
      </ns0:c>
      <ns0:c r="C33" s="75" t="n">
        <ns0:v>0.01504984395589687</ns0:v>
      </ns0:c>
      <ns0:c r="D33" s="75" t="n">
        <ns0:v>0.04325448649707002</ns0:v>
      </ns0:c>
      <ns0:c r="E33" s="75" t="n">
        <ns0:v>0.2630016692526597</ns0:v>
      </ns0:c>
      <ns0:c r="F33" s="75" t="n">
        <ns0:v>-0.105932260352381</ns0:v>
      </ns0:c>
      <ns0:c r="G33" s="75" t="n">
        <ns0:v>-0.06013156938028565</ns0:v>
      </ns0:c>
      <ns0:c r="H33" s="75" t="n">
        <ns0:v>-0.1297871114850868</ns0:v>
      </ns0:c>
      <ns0:c r="I33" s="74" t="n">
        <ns0:v>-0.6854258457186685</ns0:v>
      </ns0:c>
      <ns0:c r="J33" s="75" t="n">
        <ns0:v>-0.12872945306904</ns0:v>
      </ns0:c>
      <ns0:c r="K33" s="75" t="n">
        <ns0:v>-0.1743903695099716</ns0:v>
      </ns0:c>
      <ns0:c r="L33" s="75" t="n">
        <ns0:v>0.02970104278308073</ns0:v>
      </ns0:c>
      <ns0:c r="M33" s="75" t="n">
        <ns0:v>0.001482764076983359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-0.1523396553533664</ns0:v>
      </ns0:c>
      <ns0:c r="C34" s="75" t="n">
        <ns0:v>-0.05998037397789361</ns0:v>
      </ns0:c>
      <ns0:c r="D34" s="75" t="n">
        <ns0:v>-0.4636219080577205</ns0:v>
      </ns0:c>
      <ns0:c r="E34" s="75" t="n">
        <ns0:v>0.08861385524559788</ns0:v>
      </ns0:c>
      <ns0:c r="F34" s="75" t="n">
        <ns0:v>-0.0141627998459922</ns0:v>
      </ns0:c>
      <ns0:c r="G34" s="75" t="n">
        <ns0:v>-0.2556263653297843</ns0:v>
      </ns0:c>
      <ns0:c r="H34" s="75" t="n">
        <ns0:v>-0.1520649668683343</ns0:v>
      </ns0:c>
      <ns0:c r="I34" s="75" t="n">
        <ns0:v>-0.1800343847222202</ns0:v>
      </ns0:c>
      <ns0:c r="J34" s="74" t="n">
        <ns0:v>-0.9299326830867707</ns0:v>
      </ns0:c>
      <ns0:c r="K34" s="75" t="n">
        <ns0:v>-0.1260511255574144</ns0:v>
      </ns0:c>
      <ns0:c r="L34" s="75" t="n">
        <ns0:v>-0.2007455557451517</ns0:v>
      </ns0:c>
      <ns0:c r="M34" s="75" t="n">
        <ns0:v>0.09441625525864705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-0.1186283172362254</ns0:v>
      </ns0:c>
      <ns0:c r="C35" s="75" t="n">
        <ns0:v>-0.05526344484252863</ns0:v>
      </ns0:c>
      <ns0:c r="D35" s="75" t="n">
        <ns0:v>-0.004703386834291695</ns0:v>
      </ns0:c>
      <ns0:c r="E35" s="75" t="n">
        <ns0:v>-0.1146564159766127</ns0:v>
      </ns0:c>
      <ns0:c r="F35" s="75" t="n">
        <ns0:v>-0.02088278517785333</ns0:v>
      </ns0:c>
      <ns0:c r="G35" s="75" t="n">
        <ns0:v>0.04480848342878686</ns0:v>
      </ns0:c>
      <ns0:c r="H35" s="75" t="n">
        <ns0:v>-0.1049739505588122</ns0:v>
      </ns0:c>
      <ns0:c r="I35" s="75" t="n">
        <ns0:v>-0.04222889473636707</ns0:v>
      </ns0:c>
      <ns0:c r="J35" s="75" t="n">
        <ns0:v>-0.01937781100039677</ns0:v>
      </ns0:c>
      <ns0:c r="K35" s="74" t="n">
        <ns0:v>-0.5733121522008966</ns0:v>
      </ns0:c>
      <ns0:c r="L35" s="75" t="n">
        <ns0:v>-0.05584594227062038</ns0:v>
      </ns0:c>
      <ns0:c r="M35" s="75" t="n">
        <ns0:v>-0.0006907414002231833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-0.2586494016725042</ns0:v>
      </ns0:c>
      <ns0:c r="C36" s="75" t="n">
        <ns0:v>0.1715093987917953</ns0:v>
      </ns0:c>
      <ns0:c r="D36" s="75" t="n">
        <ns0:v>-0.06466480873183468</ns0:v>
      </ns0:c>
      <ns0:c r="E36" s="75" t="n">
        <ns0:v>0.3079592828247592</ns0:v>
      </ns0:c>
      <ns0:c r="F36" s="75" t="n">
        <ns0:v>-0.1018882838748412</ns0:v>
      </ns0:c>
      <ns0:c r="G36" s="75" t="n">
        <ns0:v>-0.03336901328846036</ns0:v>
      </ns0:c>
      <ns0:c r="H36" s="75" t="n">
        <ns0:v>0.1776927943737114</ns0:v>
      </ns0:c>
      <ns0:c r="I36" s="75" t="n">
        <ns0:v>0.08941884964547936</ns0:v>
      </ns0:c>
      <ns0:c r="J36" s="75" t="n">
        <ns0:v>-0.1414662430408712</ns0:v>
      </ns0:c>
      <ns0:c r="K36" s="75" t="n">
        <ns0:v>-0.220191325888569</ns0:v>
      </ns0:c>
      <ns0:c r="L36" s="74" t="n">
        <ns0:v>-0.8689746144816735</ns0:v>
      </ns0:c>
      <ns0:c r="M36" s="75" t="n">
        <ns0:v>0.09423879474993502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0.2366142301083936</ns0:v>
      </ns0:c>
      <ns0:c r="C37" s="75" t="n">
        <ns0:v>-0.1574611429069411</ns0:v>
      </ns0:c>
      <ns0:c r="D37" s="75" t="n">
        <ns0:v>-0.188289167144809</ns0:v>
      </ns0:c>
      <ns0:c r="E37" s="75" t="n">
        <ns0:v>-0.3618495688017095</ns0:v>
      </ns0:c>
      <ns0:c r="F37" s="75" t="n">
        <ns0:v>-0.05353500896486915</ns0:v>
      </ns0:c>
      <ns0:c r="G37" s="75" t="n">
        <ns0:v>0.06018372217566804</ns0:v>
      </ns0:c>
      <ns0:c r="H37" s="75" t="n">
        <ns0:v>-0.1204132191505366</ns0:v>
      </ns0:c>
      <ns0:c r="I37" s="75" t="n">
        <ns0:v>-0.04070699566070879</ns0:v>
      </ns0:c>
      <ns0:c r="J37" s="75" t="n">
        <ns0:v>0.1997405283513279</ns0:v>
      </ns0:c>
      <ns0:c r="K37" s="75" t="n">
        <ns0:v>-0.04865519463599217</ns0:v>
      </ns0:c>
      <ns0:c r="L37" s="75" t="n">
        <ns0:v>0.01752747467519198</ns0:v>
      </ns0:c>
      <ns0:c r="M37" s="74" t="n">
        <ns0:v>-0.4055641312831492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-1.077614575686224</ns0:v>
      </ns0:c>
      <ns0:c r="C42" s="78" t="n">
        <ns0:v>0.01475235669605757</ns0:v>
      </ns0:c>
      <ns0:c r="D42" s="78" t="n">
        <ns0:v>-0.1297433814651936</ns0:v>
      </ns0:c>
      <ns0:c r="E42" s="78" t="n">
        <ns0:v>0.01071471111278821</ns0:v>
      </ns0:c>
      <ns0:c r="F42" s="78" t="n">
        <ns0:v>-0.04052906625740622</ns0:v>
      </ns0:c>
      <ns0:c r="G42" s="78" t="n">
        <ns0:v>-0.08427712215990152</ns0:v>
      </ns0:c>
      <ns0:c r="H42" s="78" t="n">
        <ns0:v>-0.1029954287950361</ns0:v>
      </ns0:c>
      <ns0:c r="I42" s="78" t="n">
        <ns0:v>-0.02746294372266701</ns0:v>
      </ns0:c>
      <ns0:c r="J42" s="78" t="n">
        <ns0:v>-0.009041124303076038</ns0:v>
      </ns0:c>
      <ns0:c r="K42" s="78" t="n">
        <ns0:v>-0.09301112875045597</ns0:v>
      </ns0:c>
      <ns0:c r="L42" s="78" t="n">
        <ns0:v>-0.1302711490797358</ns0:v>
      </ns0:c>
      <ns0:c r="M42" s="78" t="n">
        <ns0:v>0.05077888470980427</ns0:v>
      </ns0:c>
    </ns0:row>
    <ns0:row r="43" ht="30" customHeight="1">
      <ns0:c r="A43" s="73" t="inlineStr">
        <ns0:is>
          <ns0:t>نان و غلات</ns0:t>
        </ns0:is>
      </ns0:c>
      <ns0:c r="B43" s="78" t="n">
        <ns0:v>0.1634901539616047</ns0:v>
      </ns0:c>
      <ns0:c r="C43" s="77" t="n">
        <ns0:v>-0.4828935609239108</ns0:v>
      </ns0:c>
      <ns0:c r="D43" s="78" t="n">
        <ns0:v>0.3939844262001775</ns0:v>
      </ns0:c>
      <ns0:c r="E43" s="78" t="n">
        <ns0:v>-0.1228349097274769</ns0:v>
      </ns0:c>
      <ns0:c r="F43" s="78" t="n">
        <ns0:v>0.01161296707303973</ns0:v>
      </ns0:c>
      <ns0:c r="G43" s="78" t="n">
        <ns0:v>0.05299068304325615</ns0:v>
      </ns0:c>
      <ns0:c r="H43" s="78" t="n">
        <ns0:v>-0.08835623397271694</ns0:v>
      </ns0:c>
      <ns0:c r="I43" s="78" t="n">
        <ns0:v>0.06323087053834375</ns0:v>
      </ns0:c>
      <ns0:c r="J43" s="78" t="n">
        <ns0:v>0.04799030584861807</ns0:v>
      </ns0:c>
      <ns0:c r="K43" s="78" t="n">
        <ns0:v>-0.003875610994446972</ns0:v>
      </ns0:c>
      <ns0:c r="L43" s="78" t="n">
        <ns0:v>0.1417983786231847</ns0:v>
      </ns0:c>
      <ns0:c r="M43" s="78" t="n">
        <ns0:v>-0.04883898800518757</ns0:v>
      </ns0:c>
    </ns0:row>
    <ns0:row r="44" ht="30" customHeight="1">
      <ns0:c r="A44" s="73" t="inlineStr">
        <ns0:is>
          <ns0:t>گوشت</ns0:t>
        </ns0:is>
      </ns0:c>
      <ns0:c r="B44" s="78" t="n">
        <ns0:v>0.001566999521330725</ns0:v>
      </ns0:c>
      <ns0:c r="C44" s="78" t="n">
        <ns0:v>0.01900367305337663</ns0:v>
      </ns0:c>
      <ns0:c r="D44" s="77" t="n">
        <ns0:v>-0.9500712590008477</ns0:v>
      </ns0:c>
      <ns0:c r="E44" s="78" t="n">
        <ns0:v>-0.02583048219534681</ns0:v>
      </ns0:c>
      <ns0:c r="F44" s="78" t="n">
        <ns0:v>-0.07139240859897616</ns0:v>
      </ns0:c>
      <ns0:c r="G44" s="78" t="n">
        <ns0:v>-0.003974375678931854</ns0:v>
      </ns0:c>
      <ns0:c r="H44" s="78" t="n">
        <ns0:v>-0.0881641508740927</ns0:v>
      </ns0:c>
      <ns0:c r="I44" s="78" t="n">
        <ns0:v>-0.01878856820728374</ns0:v>
      </ns0:c>
      <ns0:c r="J44" s="78" t="n">
        <ns0:v>-0.03395978540339092</ns0:v>
      </ns0:c>
      <ns0:c r="K44" s="78" t="n">
        <ns0:v>-0.003823407251788421</ns0:v>
      </ns0:c>
      <ns0:c r="L44" s="78" t="n">
        <ns0:v>-0.04145048668106933</ns0:v>
      </ns0:c>
      <ns0:c r="M44" s="78" t="n">
        <ns0:v>-0.04046804251240136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0.0921271172522799</ns0:v>
      </ns0:c>
      <ns0:c r="C45" s="78" t="n">
        <ns0:v>-0.1499904802730474</ns0:v>
      </ns0:c>
      <ns0:c r="D45" s="78" t="n">
        <ns0:v>0.05458636256655209</ns0:v>
      </ns0:c>
      <ns0:c r="E45" s="77" t="n">
        <ns0:v>-0.819471419784505</ns0:v>
      </ns0:c>
      <ns0:c r="F45" s="78" t="n">
        <ns0:v>-0.007580828461249798</ns0:v>
      </ns0:c>
      <ns0:c r="G45" s="78" t="n">
        <ns0:v>0.02891668761683892</ns0:v>
      </ns0:c>
      <ns0:c r="H45" s="78" t="n">
        <ns0:v>-0.1249198205230018</ns0:v>
      </ns0:c>
      <ns0:c r="I45" s="78" t="n">
        <ns0:v>0.03837615900650232</ns0:v>
      </ns0:c>
      <ns0:c r="J45" s="78" t="n">
        <ns0:v>0.09074988979701815</ns0:v>
      </ns0:c>
      <ns0:c r="K45" s="78" t="n">
        <ns0:v>-0.04448853870053402</ns0:v>
      </ns0:c>
      <ns0:c r="L45" s="78" t="n">
        <ns0:v>0.09421353246328533</ns0:v>
      </ns0:c>
      <ns0:c r="M45" s="78" t="n">
        <ns0:v>-0.09873116555512162</ns0:v>
      </ns0:c>
    </ns0:row>
    <ns0:row r="46" ht="30" customHeight="1">
      <ns0:c r="A46" s="73" t="inlineStr">
        <ns0:is>
          <ns0:t>روغن و چربی</ns0:t>
        </ns0:is>
      </ns0:c>
      <ns0:c r="B46" s="78" t="n">
        <ns0:v>0.00591488971357425</ns0:v>
      </ns0:c>
      <ns0:c r="C46" s="78" t="n">
        <ns0:v>-0.09349189545885447</ns0:v>
      </ns0:c>
      <ns0:c r="D46" s="78" t="n">
        <ns0:v>-0.1980161520724563</ns0:v>
      </ns0:c>
      <ns0:c r="E46" s="78" t="n">
        <ns0:v>0.08923021694147137</ns0:v>
      </ns0:c>
      <ns0:c r="F46" s="77" t="n">
        <ns0:v>-0.5416020618229646</ns0:v>
      </ns0:c>
      <ns0:c r="G46" s="78" t="n">
        <ns0:v>-0.05282262540917822</ns0:v>
      </ns0:c>
      <ns0:c r="H46" s="78" t="n">
        <ns0:v>-0.1219347592287735</ns0:v>
      </ns0:c>
      <ns0:c r="I46" s="78" t="n">
        <ns0:v>-0.1229082222420798</ns0:v>
      </ns0:c>
      <ns0:c r="J46" s="78" t="n">
        <ns0:v>0.03079274678437257</ns0:v>
      </ns0:c>
      <ns0:c r="K46" s="78" t="n">
        <ns0:v>-0.01737879084515803</ns0:v>
      </ns0:c>
      <ns0:c r="L46" s="78" t="n">
        <ns0:v>-0.07892999424650078</ns0:v>
      </ns0:c>
      <ns0:c r="M46" s="78" t="n">
        <ns0:v>-0.01437947339793415</ns0:v>
      </ns0:c>
    </ns0:row>
    <ns0:row r="47" ht="30" customHeight="1">
      <ns0:c r="A47" s="73" t="inlineStr">
        <ns0:is>
          <ns0:t>میوه</ns0:t>
        </ns0:is>
      </ns0:c>
      <ns0:c r="B47" s="78" t="n">
        <ns0:v>-0.1659266020140911</ns0:v>
      </ns0:c>
      <ns0:c r="C47" s="78" t="n">
        <ns0:v>-0.01108230113075832</ns0:v>
      </ns0:c>
      <ns0:c r="D47" s="78" t="n">
        <ns0:v>-0.01096402458573694</ns0:v>
      </ns0:c>
      <ns0:c r="E47" s="78" t="n">
        <ns0:v>0.04343070853372995</ns0:v>
      </ns0:c>
      <ns0:c r="F47" s="78" t="n">
        <ns0:v>-0.1004395130484321</ns0:v>
      </ns0:c>
      <ns0:c r="G47" s="77" t="n">
        <ns0:v>-1.057001793095627</ns0:v>
      </ns0:c>
      <ns0:c r="H47" s="78" t="n">
        <ns0:v>0.1110626993606689</ns0:v>
      </ns0:c>
      <ns0:c r="I47" s="78" t="n">
        <ns0:v>-0.05121770210973771</ns0:v>
      </ns0:c>
      <ns0:c r="J47" s="78" t="n">
        <ns0:v>-0.2057905246097898</ns0:v>
      </ns0:c>
      <ns0:c r="K47" s="78" t="n">
        <ns0:v>0.05239286624503009</ns0:v>
      </ns0:c>
      <ns0:c r="L47" s="78" t="n">
        <ns0:v>-0.03144293427290698</ns0:v>
      </ns0:c>
      <ns0:c r="M47" s="78" t="n">
        <ns0:v>0.02696456232667824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-0.01137888744830284</ns0:v>
      </ns0:c>
      <ns0:c r="C48" s="78" t="n">
        <ns0:v>-0.12282265843003</ns0:v>
      </ns0:c>
      <ns0:c r="D48" s="78" t="n">
        <ns0:v>-0.04449712800151243</ns0:v>
      </ns0:c>
      <ns0:c r="E48" s="78" t="n">
        <ns0:v>-0.1203007316291864</ns0:v>
      </ns0:c>
      <ns0:c r="F48" s="78" t="n">
        <ns0:v>-0.0004103884424670109</ns0:v>
      </ns0:c>
      <ns0:c r="G48" s="78" t="n">
        <ns0:v>0.04730053399689207</ns0:v>
      </ns0:c>
      <ns0:c r="H48" s="77" t="n">
        <ns0:v>-0.4658058522029566</ns0:v>
      </ns0:c>
      <ns0:c r="I48" s="78" t="n">
        <ns0:v>0.001369133113652994</ns0:v>
      </ns0:c>
      <ns0:c r="J48" s="78" t="n">
        <ns0:v>0.00901927076155136</ns0:v>
      </ns0:c>
      <ns0:c r="K48" s="78" t="n">
        <ns0:v>-0.06321532109309823</ns0:v>
      </ns0:c>
      <ns0:c r="L48" s="78" t="n">
        <ns0:v>0.05745336862073602</ns0:v>
      </ns0:c>
      <ns0:c r="M48" s="78" t="n">
        <ns0:v>-0.02593231854158699</ns0:v>
      </ns0:c>
    </ns0:row>
    <ns0:row r="49" ht="30" customHeight="1">
      <ns0:c r="A49" s="73" t="inlineStr">
        <ns0:is>
          <ns0:t>حبوبات</ns0:t>
        </ns0:is>
      </ns0:c>
      <ns0:c r="B49" s="78" t="n">
        <ns0:v>-0.08138150617342199</ns0:v>
      </ns0:c>
      <ns0:c r="C49" s="78" t="n">
        <ns0:v>-0.02290309240555352</ns0:v>
      </ns0:c>
      <ns0:c r="D49" s="78" t="n">
        <ns0:v>-0.0150360491143007</ns0:v>
      </ns0:c>
      <ns0:c r="E49" s="78" t="n">
        <ns0:v>0.2159719172726276</ns0:v>
      </ns0:c>
      <ns0:c r="F49" s="78" t="n">
        <ns0:v>-0.1198643667635104</ns0:v>
      </ns0:c>
      <ns0:c r="G49" s="78" t="n">
        <ns0:v>-0.07317756161615774</ns0:v>
      </ns0:c>
      <ns0:c r="H49" s="78" t="n">
        <ns0:v>-0.157891692444045</ns0:v>
      </ns0:c>
      <ns0:c r="I49" s="77" t="n">
        <ns0:v>-0.7088956613132338</ns0:v>
      </ns0:c>
      <ns0:c r="J49" s="78" t="n">
        <ns0:v>-0.117049195205131</ns0:v>
      </ns0:c>
      <ns0:c r="K49" s="78" t="n">
        <ns0:v>-0.1829348650736173</ns0:v>
      </ns0:c>
      <ns0:c r="L49" s="78" t="n">
        <ns0:v>0.01216759680108525</ns0:v>
      </ns0:c>
      <ns0:c r="M49" s="78" t="n">
        <ns0:v>-0.008271529237491623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-0.1099616020716315</ns0:v>
      </ns0:c>
      <ns0:c r="C50" s="78" t="n">
        <ns0:v>0.0173090700523034</ns0:v>
      </ns0:c>
      <ns0:c r="D50" s="78" t="n">
        <ns0:v>-0.3085559630613571</ns0:v>
      </ns0:c>
      <ns0:c r="E50" s="78" t="n">
        <ns0:v>0.2207595586459589</ns0:v>
      </ns0:c>
      <ns0:c r="F50" s="78" t="n">
        <ns0:v>0.01252182033207928</ns0:v>
      </ns0:c>
      <ns0:c r="G50" s="78" t="n">
        <ns0:v>-0.2303275019633158</ns0:v>
      </ns0:c>
      <ns0:c r="H50" s="78" t="n">
        <ns0:v>-0.07729693730731796</ns0:v>
      </ns0:c>
      <ns0:c r="I50" s="78" t="n">
        <ns0:v>-0.1393256340335696</ns0:v>
      </ns0:c>
      <ns0:c r="J50" s="77" t="n">
        <ns0:v>-0.9488828333607963</ns0:v>
      </ns0:c>
      <ns0:c r="K50" s="78" t="n">
        <ns0:v>-0.09399390535023876</ns0:v>
      </ns0:c>
      <ns0:c r="L50" s="78" t="n">
        <ns0:v>-0.1627067816732287</ns0:v>
      </ns0:c>
      <ns0:c r="M50" s="78" t="n">
        <ns0:v>0.1049495377243608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-0.1021687739128748</ns0:v>
      </ns0:c>
      <ns0:c r="C51" s="78" t="n">
        <ns0:v>-0.05607470056024569</ns0:v>
      </ns0:c>
      <ns0:c r="D51" s="78" t="n">
        <ns0:v>-0.003166437004320002</ns0:v>
      </ns0:c>
      <ns0:c r="E51" s="78" t="n">
        <ns0:v>-0.1109851035514119</ns0:v>
      </ns0:c>
      <ns0:c r="F51" s="78" t="n">
        <ns0:v>-0.009514246208824165</ns0:v>
      </ns0:c>
      <ns0:c r="G51" s="78" t="n">
        <ns0:v>0.04771383754914739</ns0:v>
      </ns0:c>
      <ns0:c r="H51" s="78" t="n">
        <ns0:v>-0.102406282715314</ns0:v>
      </ns0:c>
      <ns0:c r="I51" s="78" t="n">
        <ns0:v>-0.03537378071846994</ns0:v>
      </ns0:c>
      <ns0:c r="J51" s="78" t="n">
        <ns0:v>-0.03148090031584961</ns0:v>
      </ns0:c>
      <ns0:c r="K51" s="77" t="n">
        <ns0:v>-0.5705422156696682</ns0:v>
      </ns0:c>
      <ns0:c r="L51" s="78" t="n">
        <ns0:v>-0.05610308436974262</ns0:v>
      </ns0:c>
      <ns0:c r="M51" s="78" t="n">
        <ns0:v>-0.00255717497685908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-0.2821683349752159</ns0:v>
      </ns0:c>
      <ns0:c r="C52" s="78" t="n">
        <ns0:v>0.1498522428117264</ns0:v>
      </ns0:c>
      <ns0:c r="D52" s="78" t="n">
        <ns0:v>-0.1054152631261295</ns0:v>
      </ns0:c>
      <ns0:c r="E52" s="78" t="n">
        <ns0:v>0.2690978677152897</ns0:v>
      </ns0:c>
      <ns0:c r="F52" s="78" t="n">
        <ns0:v>-0.1112451376656683</ns0:v>
      </ns0:c>
      <ns0:c r="G52" s="78" t="n">
        <ns0:v>-0.04228823274820542</ns0:v>
      </ns0:c>
      <ns0:c r="H52" s="78" t="n">
        <ns0:v>0.147983379447387</ns0:v>
      </ns0:c>
      <ns0:c r="I52" s="78" t="n">
        <ns0:v>0.07351868185854128</ns0:v>
      </ns0:c>
      <ns0:c r="J52" s="78" t="n">
        <ns0:v>-0.1321159259214626</ns0:v>
      </ns0:c>
      <ns0:c r="K52" s="78" t="n">
        <ns0:v>-0.2313254626882239</ns0:v>
      </ns0:c>
      <ns0:c r="L52" s="77" t="n">
        <ns0:v>-0.8792482037826739</ns0:v>
      </ns0:c>
      <ns0:c r="M52" s="78" t="n">
        <ns0:v>0.08493435633745539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0.2476738135577727</ns0:v>
      </ns0:c>
      <ns0:c r="C53" s="78" t="n">
        <ns0:v>-0.1291323204735574</ns0:v>
      </ns0:c>
      <ns0:c r="D53" s="78" t="n">
        <ns0:v>-0.1520985766257512</ns0:v>
      </ns0:c>
      <ns0:c r="E53" s="78" t="n">
        <ns0:v>-0.3279622473623535</ns0:v>
      </ns0:c>
      <ns0:c r="F53" s="78" t="n">
        <ns0:v>-0.04750838491613669</ns0:v>
      </ns0:c>
      <ns0:c r="G53" s="78" t="n">
        <ns0:v>0.06609215938159939</ns0:v>
      </ns0:c>
      <ns0:c r="H53" s="78" t="n">
        <ns0:v>-0.09490625281511303</ns0:v>
      </ns0:c>
      <ns0:c r="I53" s="78" t="n">
        <ns0:v>-0.03555264183073412</ns0:v>
      </ns0:c>
      <ns0:c r="J53" s="78" t="n">
        <ns0:v>0.1904342172577747</ns0:v>
      </ns0:c>
      <ns0:c r="K53" s="78" t="n">
        <ns0:v>-0.03715681480234074</ns0:v>
      </ns0:c>
      <ns0:c r="L53" s="78" t="n">
        <ns0:v>0.02447933543431887</ns0:v>
      </ns0:c>
      <ns0:c r="M53" s="77" t="n">
        <ns0:v>-0.4022812744186494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13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سال 1403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-1.0822</ns0:v>
      </ns0:c>
      <ns0:c r="C6" s="69" t="n">
        <ns0:v>-1.0809</ns0:v>
      </ns0:c>
      <ns0:c r="D6" s="70" t="n">
        <ns0:v>1.5596</ns0:v>
      </ns0:c>
      <ns0:c r="E6" s="69" t="n">
        <ns0:v>1.6191</ns0:v>
      </ns0:c>
    </ns0:row>
    <ns0:row r="7" ht="23" customHeight="1">
      <ns0:c r="A7" s="28" t="inlineStr">
        <ns0:is>
          <ns0:t>نان و غلات</ns0:t>
        </ns0:is>
      </ns0:c>
      <ns0:c r="B7" s="68" t="n">
        <ns0:v>-0.4368</ns0:v>
      </ns0:c>
      <ns0:c r="C7" s="69" t="n">
        <ns0:v>-0.3696</ns0:v>
      </ns0:c>
      <ns0:c r="D7" s="70" t="n">
        <ns0:v>-0.2164</ns0:v>
      </ns0:c>
      <ns0:c r="E7" s="69" t="n">
        <ns0:v>-0.4361</ns0:v>
      </ns0:c>
    </ns0:row>
    <ns0:row r="8" ht="23" customHeight="1">
      <ns0:c r="A8" s="28" t="inlineStr">
        <ns0:is>
          <ns0:t>گوشت</ns0:t>
        </ns0:is>
      </ns0:c>
      <ns0:c r="B8" s="68" t="n">
        <ns0:v>-0.9461000000000001</ns0:v>
      </ns0:c>
      <ns0:c r="C8" s="69" t="n">
        <ns0:v>-0.9565</ns0:v>
      </ns0:c>
      <ns0:c r="D8" s="70" t="n">
        <ns0:v>1.2217</ns0:v>
      </ns0:c>
      <ns0:c r="E8" s="69" t="n">
        <ns0:v>1.2381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-0.7995</ns0:v>
      </ns0:c>
      <ns0:c r="C9" s="69" t="n">
        <ns0:v>-0.7921</ns0:v>
      </ns0:c>
      <ns0:c r="D9" s="70" t="n">
        <ns0:v>0.8451</ns0:v>
      </ns0:c>
      <ns0:c r="E9" s="69" t="n">
        <ns0:v>0.8204</ns0:v>
      </ns0:c>
    </ns0:row>
    <ns0:row r="10" ht="23" customHeight="1">
      <ns0:c r="A10" s="28" t="inlineStr">
        <ns0:is>
          <ns0:t>روغن و چربی</ns0:t>
        </ns0:is>
      </ns0:c>
      <ns0:c r="B10" s="68" t="n">
        <ns0:v>-0.4707</ns0:v>
      </ns0:c>
      <ns0:c r="C10" s="69" t="n">
        <ns0:v>-0.4696</ns0:v>
      </ns0:c>
      <ns0:c r="D10" s="70" t="n">
        <ns0:v>0.7673</ns0:v>
      </ns0:c>
      <ns0:c r="E10" s="69" t="n">
        <ns0:v>1.0671</ns0:v>
      </ns0:c>
    </ns0:row>
    <ns0:row r="11" ht="23" customHeight="1">
      <ns0:c r="A11" s="28" t="inlineStr">
        <ns0:is>
          <ns0:t>میوه</ns0:t>
        </ns0:is>
      </ns0:c>
      <ns0:c r="B11" s="68" t="n">
        <ns0:v>-1.0677</ns0:v>
      </ns0:c>
      <ns0:c r="C11" s="69" t="n">
        <ns0:v>-1.0625</ns0:v>
      </ns0:c>
      <ns0:c r="D11" s="70" t="n">
        <ns0:v>1.3666</ns0:v>
      </ns0:c>
      <ns0:c r="E11" s="69" t="n">
        <ns0:v>1.3896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-0.5169</ns0:v>
      </ns0:c>
      <ns0:c r="C12" s="69" t="n">
        <ns0:v>-0.5036</ns0:v>
      </ns0:c>
      <ns0:c r="D12" s="70" t="n">
        <ns0:v>0.7925</ns0:v>
      </ns0:c>
      <ns0:c r="E12" s="69" t="n">
        <ns0:v>0.7367</ns0:v>
      </ns0:c>
    </ns0:row>
    <ns0:row r="13" ht="23" customHeight="1">
      <ns0:c r="A13" s="28" t="inlineStr">
        <ns0:is>
          <ns0:t>حبوبات</ns0:t>
        </ns0:is>
      </ns0:c>
      <ns0:c r="B13" s="68" t="n">
        <ns0:v>-0.7119</ns0:v>
      </ns0:c>
      <ns0:c r="C13" s="69" t="n">
        <ns0:v>-0.7343</ns0:v>
      </ns0:c>
      <ns0:c r="D13" s="70" t="n">
        <ns0:v>1.0492</ns0:v>
      </ns0:c>
      <ns0:c r="E13" s="69" t="n">
        <ns0:v>1.3048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-0.9222</ns0:v>
      </ns0:c>
      <ns0:c r="C14" s="69" t="n">
        <ns0:v>-0.9401</ns0:v>
      </ns0:c>
      <ns0:c r="D14" s="70" t="n">
        <ns0:v>2.2433</ns0:v>
      </ns0:c>
      <ns0:c r="E14" s="69" t="n">
        <ns0:v>1.5904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-0.601</ns0:v>
      </ns0:c>
      <ns0:c r="C15" s="69" t="n">
        <ns0:v>-0.5979</ns0:v>
      </ns0:c>
      <ns0:c r="D15" s="70" t="n">
        <ns0:v>1.0427</ns0:v>
      </ns0:c>
      <ns0:c r="E15" s="69" t="n">
        <ns0:v>1.0046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-0.8867</ns0:v>
      </ns0:c>
      <ns0:c r="C16" s="69" t="n">
        <ns0:v>-0.8975</ns0:v>
      </ns0:c>
      <ns0:c r="D16" s="70" t="n">
        <ns0:v>0.9918</ns0:v>
      </ns0:c>
      <ns0:c r="E16" s="69" t="n">
        <ns0:v>1.2021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-0.424</ns0:v>
      </ns0:c>
      <ns0:c r="C17" s="69" t="n">
        <ns0:v>-0.421</ns0:v>
      </ns0:c>
      <ns0:c r="D17" s="70" t="n">
        <ns0:v>0.8801</ns0:v>
      </ns0:c>
      <ns0:c r="E17" s="69" t="n">
        <ns0:v>0.7231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-1.082232981891232</ns0:v>
      </ns0:c>
      <ns0:c r="C26" s="75" t="n">
        <ns0:v>0.03765466465584952</ns0:v>
      </ns0:c>
      <ns0:c r="D26" s="75" t="n">
        <ns0:v>-0.1206277172828026</ns0:v>
      </ns0:c>
      <ns0:c r="E26" s="75" t="n">
        <ns0:v>0.03223361655604396</ns0:v>
      </ns0:c>
      <ns0:c r="F26" s="75" t="n">
        <ns0:v>-0.03374407843120178</ns0:v>
      </ns0:c>
      <ns0:c r="G26" s="75" t="n">
        <ns0:v>-0.0839540147162314</ns0:v>
      </ns0:c>
      <ns0:c r="H26" s="75" t="n">
        <ns0:v>-0.09533869318954617</ns0:v>
      </ns0:c>
      <ns0:c r="I26" s="75" t="n">
        <ns0:v>-0.02451191121155003</ns0:v>
      </ns0:c>
      <ns0:c r="J26" s="75" t="n">
        <ns0:v>-0.01162197741803879</ns0:v>
      </ns0:c>
      <ns0:c r="K26" s="75" t="n">
        <ns0:v>-0.0947375998649294</ns0:v>
      </ns0:c>
      <ns0:c r="L26" s="75" t="n">
        <ns0:v>-0.1268207878822695</ns0:v>
      </ns0:c>
      <ns0:c r="M26" s="75" t="n">
        <ns0:v>0.05177940002379582</ns0:v>
      </ns0:c>
    </ns0:row>
    <ns0:row r="27" ht="30" customHeight="1">
      <ns0:c r="A27" s="73" t="inlineStr">
        <ns0:is>
          <ns0:t>نان و غلات</ns0:t>
        </ns0:is>
      </ns0:c>
      <ns0:c r="B27" s="75" t="n">
        <ns0:v>0.2287730523321598</ns0:v>
      </ns0:c>
      <ns0:c r="C27" s="74" t="n">
        <ns0:v>-0.4368335729557299</ns0:v>
      </ns0:c>
      <ns0:c r="D27" s="75" t="n">
        <ns0:v>0.4870984364270711</ns0:v>
      </ns0:c>
      <ns0:c r="E27" s="75" t="n">
        <ns0:v>-0.2170555638006627</ns0:v>
      </ns0:c>
      <ns0:c r="F27" s="75" t="n">
        <ns0:v>0.02823402003892785</ns0:v>
      </ns0:c>
      <ns0:c r="G27" s="75" t="n">
        <ns0:v>0.07011425798180328</ns0:v>
      </ns0:c>
      <ns0:c r="H27" s="75" t="n">
        <ns0:v>-0.1317290344953391</ns0:v>
      </ns0:c>
      <ns0:c r="I27" s="75" t="n">
        <ns0:v>0.08346254394337926</ns0:v>
      </ns0:c>
      <ns0:c r="J27" s="75" t="n">
        <ns0:v>0.0388966148908949</ns0:v>
      </ns0:c>
      <ns0:c r="K27" s="75" t="n">
        <ns0:v>-0.01202088055146419</ns0:v>
      </ns0:c>
      <ns0:c r="L27" s="75" t="n">
        <ns0:v>0.1754645185620565</ns0:v>
      </ns0:c>
      <ns0:c r="M27" s="75" t="n">
        <ns0:v>-0.07402399363269059</ns0:v>
      </ns0:c>
    </ns0:row>
    <ns0:row r="28" ht="30" customHeight="1">
      <ns0:c r="A28" s="73" t="inlineStr">
        <ns0:is>
          <ns0:t>گوشت</ns0:t>
        </ns0:is>
      </ns0:c>
      <ns0:c r="B28" s="75" t="n">
        <ns0:v>0.00181494121539962</ns0:v>
      </ns0:c>
      <ns0:c r="C28" s="75" t="n">
        <ns0:v>0.02590407586804029</ns0:v>
      </ns0:c>
      <ns0:c r="D28" s="74" t="n">
        <ns0:v>-0.94614274071631</ns0:v>
      </ns0:c>
      <ns0:c r="E28" s="75" t="n">
        <ns0:v>-0.01514694130427907</ns0:v>
      </ns0:c>
      <ns0:c r="F28" s="75" t="n">
        <ns0:v>-0.07234244452833617</ns0:v>
      </ns0:c>
      <ns0:c r="G28" s="75" t="n">
        <ns0:v>-0.005140520791147949</ns0:v>
      </ns0:c>
      <ns0:c r="H28" s="75" t="n">
        <ns0:v>-0.0826109059673058</ns0:v>
      </ns0:c>
      <ns0:c r="I28" s="75" t="n">
        <ns0:v>-0.0187447390675783</ns0:v>
      </ns0:c>
      <ns0:c r="J28" s="75" t="n">
        <ns0:v>-0.0313757702515991</ns0:v>
      </ns0:c>
      <ns0:c r="K28" s="75" t="n">
        <ns0:v>5.603806749204064e-05</ns0:v>
      </ns0:c>
      <ns0:c r="L28" s="75" t="n">
        <ns0:v>-0.04097032534600657</ns0:v>
      </ns0:c>
      <ns0:c r="M28" s="75" t="n">
        <ns0:v>-0.03796416010783711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0.1069589512845055</ns0:v>
      </ns0:c>
      <ns0:c r="C29" s="75" t="n">
        <ns0:v>-0.1850702992162902</ns0:v>
      </ns0:c>
      <ns0:c r="D29" s="75" t="n">
        <ns0:v>0.06657141418465637</ns0:v>
      </ns0:c>
      <ns0:c r="E29" s="74" t="n">
        <ns0:v>-0.7995365389990947</ns0:v>
      </ns0:c>
      <ns0:c r="F29" s="75" t="n">
        <ns0:v>0.003840861738256659</ns0:v>
      </ns0:c>
      <ns0:c r="G29" s="75" t="n">
        <ns0:v>0.03448620142439695</ns0:v>
      </ns0:c>
      <ns0:c r="H29" s="75" t="n">
        <ns0:v>-0.1490117164875667</ns0:v>
      </ns0:c>
      <ns0:c r="I29" s="75" t="n">
        <ns0:v>0.04538453999330004</ns0:v>
      </ns0:c>
      <ns0:c r="J29" s="75" t="n">
        <ns0:v>0.0883828007976431</ns0:v>
      </ns0:c>
      <ns0:c r="K29" s="75" t="n">
        <ns0:v>-0.04607378171511346</ns0:v>
      </ns0:c>
      <ns0:c r="L29" s="75" t="n">
        <ns0:v>0.1110020064528349</ns0:v>
      </ns0:c>
      <ns0:c r="M29" s="75" t="n">
        <ns0:v>-0.1193231877615848</ns0:v>
      </ns0:c>
    </ns0:row>
    <ns0:row r="30" ht="30" customHeight="1">
      <ns0:c r="A30" s="73" t="inlineStr">
        <ns0:is>
          <ns0:t>روغن و چربی</ns0:t>
        </ns0:is>
      </ns0:c>
      <ns0:c r="B30" s="75" t="n">
        <ns0:v>0.01803204043600972</ns0:v>
      </ns0:c>
      <ns0:c r="C30" s="75" t="n">
        <ns0:v>-0.05436484152740453</ns0:v>
      </ns0:c>
      <ns0:c r="D30" s="75" t="n">
        <ns0:v>-0.1680938257340638</ns0:v>
      </ns0:c>
      <ns0:c r="E30" s="75" t="n">
        <ns0:v>0.1392789508544379</ns0:v>
      </ns0:c>
      <ns0:c r="F30" s="74" t="n">
        <ns0:v>-0.4707272646685366</ns0:v>
      </ns0:c>
      <ns0:c r="G30" s="75" t="n">
        <ns0:v>-0.04285480217357334</ns0:v>
      </ns0:c>
      <ns0:c r="H30" s="75" t="n">
        <ns0:v>-0.07006696917739377</ns0:v>
      </ns0:c>
      <ns0:c r="I30" s="75" t="n">
        <ns0:v>-0.1108433723297258</ns0:v>
      </ns0:c>
      <ns0:c r="J30" s="75" t="n">
        <ns0:v>0.05876243726620662</ns0:v>
      </ns0:c>
      <ns0:c r="K30" s="75" t="n">
        <ns0:v>-0.01171696138726262</ns0:v>
      </ns0:c>
      <ns0:c r="L30" s="75" t="n">
        <ns0:v>-0.07679397566865394</ns0:v>
      </ns0:c>
      <ns0:c r="M30" s="75" t="n">
        <ns0:v>-0.006090229077783877</ns0:v>
      </ns0:c>
    </ns0:row>
    <ns0:row r="31" ht="30" customHeight="1">
      <ns0:c r="A31" s="73" t="inlineStr">
        <ns0:is>
          <ns0:t>میوه</ns0:t>
        </ns0:is>
      </ns0:c>
      <ns0:c r="B31" s="75" t="n">
        <ns0:v>-0.1606346291030395</ns0:v>
      </ns0:c>
      <ns0:c r="C31" s="75" t="n">
        <ns0:v>-0.004109612009348123</ns0:v>
      </ns0:c>
      <ns0:c r="D31" s="75" t="n">
        <ns0:v>-0.01719908465407561</ns0:v>
      </ns0:c>
      <ns0:c r="E31" s="75" t="n">
        <ns0:v>0.0461946130039993</ns0:v>
      </ns0:c>
      <ns0:c r="F31" s="75" t="n">
        <ns0:v>-0.09372538842156677</ns0:v>
      </ns0:c>
      <ns0:c r="G31" s="74" t="n">
        <ns0:v>-1.067689565188059</ns0:v>
      </ns0:c>
      <ns0:c r="H31" s="75" t="n">
        <ns0:v>0.1173451859326209</ns0:v>
      </ns0:c>
      <ns0:c r="I31" s="75" t="n">
        <ns0:v>-0.05104781044212333</ns0:v>
      </ns0:c>
      <ns0:c r="J31" s="75" t="n">
        <ns0:v>-0.1952544087463494</ns0:v>
      </ns0:c>
      <ns0:c r="K31" s="75" t="n">
        <ns0:v>0.05056167546122103</ns0:v>
      </ns0:c>
      <ns0:c r="L31" s="75" t="n">
        <ns0:v>-0.03168034526444118</ns0:v>
      </ns0:c>
      <ns0:c r="M31" s="75" t="n">
        <ns0:v>0.02791577747618786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-0.009304114987216302</ns0:v>
      </ns0:c>
      <ns0:c r="C32" s="75" t="n">
        <ns0:v>-0.1229183477035217</ns0:v>
      </ns0:c>
      <ns0:c r="D32" s="75" t="n">
        <ns0:v>-0.05472594367652545</ns0:v>
      </ns0:c>
      <ns0:c r="E32" s="75" t="n">
        <ns0:v>-0.1260632778911736</ns0:v>
      </ns0:c>
      <ns0:c r="F32" s="75" t="n">
        <ns0:v>-0.003182807508009295</ns0:v>
      </ns0:c>
      <ns0:c r="G32" s="75" t="n">
        <ns0:v>0.04415944332786493</ns0:v>
      </ns0:c>
      <ns0:c r="H32" s="74" t="n">
        <ns0:v>-0.5168915756809886</ns0:v>
      </ns0:c>
      <ns0:c r="I32" s="75" t="n">
        <ns0:v>-0.0001285029540093117</ns0:v>
      </ns0:c>
      <ns0:c r="J32" s="75" t="n">
        <ns0:v>0.01063356894578164</ns0:v>
      </ns0:c>
      <ns0:c r="K32" s="75" t="n">
        <ns0:v>-0.0642366633813008</ns0:v>
      </ns0:c>
      <ns0:c r="L32" s="75" t="n">
        <ns0:v>0.05327050297820679</ns0:v>
      </ns0:c>
      <ns0:c r="M32" s="75" t="n">
        <ns0:v>-0.02397087510070333</ns0:v>
      </ns0:c>
    </ns0:row>
    <ns0:row r="33" ht="30" customHeight="1">
      <ns0:c r="A33" s="73" t="inlineStr">
        <ns0:is>
          <ns0:t>حبوبات</ns0:t>
        </ns0:is>
      </ns0:c>
      <ns0:c r="B33" s="75" t="n">
        <ns0:v>-0.06353977936618832</ns0:v>
      </ns0:c>
      <ns0:c r="C33" s="75" t="n">
        <ns0:v>0.008025720560446028</ns0:v>
      </ns0:c>
      <ns0:c r="D33" s="75" t="n">
        <ns0:v>0.04261059577865964</ns0:v>
      </ns0:c>
      <ns0:c r="E33" s="75" t="n">
        <ns0:v>0.241479697249999</ns0:v>
      </ns0:c>
      <ns0:c r="F33" s="75" t="n">
        <ns0:v>-0.1018268436072038</ns0:v>
      </ns0:c>
      <ns0:c r="G33" s="75" t="n">
        <ns0:v>-0.05771575719925917</ns0:v>
      </ns0:c>
      <ns0:c r="H33" s="75" t="n">
        <ns0:v>-0.1236826213053404</ns0:v>
      </ns0:c>
      <ns0:c r="I33" s="74" t="n">
        <ns0:v>-0.7118916227814773</ns0:v>
      </ns0:c>
      <ns0:c r="J33" s="75" t="n">
        <ns0:v>-0.1168808255255268</ns0:v>
      </ns0:c>
      <ns0:c r="K33" s="75" t="n">
        <ns0:v>-0.1656175350923331</ns0:v>
      </ns0:c>
      <ns0:c r="L33" s="75" t="n">
        <ns0:v>0.02698818328051656</ns0:v>
      </ns0:c>
      <ns0:c r="M33" s="75" t="n">
        <ns0:v>0.002824674444441214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-0.1513195841524395</ns0:v>
      </ns0:c>
      <ns0:c r="C34" s="75" t="n">
        <ns0:v>-0.04216126046979938</ns0:v>
      </ns0:c>
      <ns0:c r="D34" s="75" t="n">
        <ns0:v>-0.4854215922418731</ns0:v>
      </ns0:c>
      <ns0:c r="E34" s="75" t="n">
        <ns0:v>0.1116448487324335</ns0:v>
      </ns0:c>
      <ns0:c r="F34" s="75" t="n">
        <ns0:v>-0.002698844157302901</ns0:v>
      </ns0:c>
      <ns0:c r="G34" s="75" t="n">
        <ns0:v>-0.2606085383092523</ns0:v>
      </ns0:c>
      <ns0:c r="H34" s="75" t="n">
        <ns0:v>-0.1557560745729227</ns0:v>
      </ns0:c>
      <ns0:c r="I34" s="75" t="n">
        <ns0:v>-0.1879872095814019</ns0:v>
      </ns0:c>
      <ns0:c r="J34" s="74" t="n">
        <ns0:v>-0.9222222798574641</ns0:v>
      </ns0:c>
      <ns0:c r="K34" s="75" t="n">
        <ns0:v>-0.1316785252451173</ns0:v>
      </ns0:c>
      <ns0:c r="L34" s="75" t="n">
        <ns0:v>-0.2014190447227502</ns0:v>
      </ns0:c>
      <ns0:c r="M34" s="75" t="n">
        <ns0:v>0.1027756087692545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-0.1134934177566753</ns0:v>
      </ns0:c>
      <ns0:c r="C35" s="75" t="n">
        <ns0:v>-0.04832747027343513</ns0:v>
      </ns0:c>
      <ns0:c r="D35" s="75" t="n">
        <ns0:v>-0.00934398128245597</ns0:v>
      </ns0:c>
      <ns0:c r="E35" s="75" t="n">
        <ns0:v>-0.1059236564987761</ns0:v>
      </ns0:c>
      <ns0:c r="F35" s="75" t="n">
        <ns0:v>-0.01779894538583326</ns0:v>
      </ns0:c>
      <ns0:c r="G35" s="75" t="n">
        <ns0:v>0.04165177746631673</ns0:v>
      </ns0:c>
      <ns0:c r="H35" s="75" t="n">
        <ns0:v>-0.09981050069804631</ns0:v>
      </ns0:c>
      <ns0:c r="I35" s="75" t="n">
        <ns0:v>-0.04084666172591707</ns0:v>
      </ns0:c>
      <ns0:c r="J35" s="75" t="n">
        <ns0:v>-0.01817046014908142</ns0:v>
      </ns0:c>
      <ns0:c r="K35" s="74" t="n">
        <ns0:v>-0.6010012839881858</ns0:v>
      </ns0:c>
      <ns0:c r="L35" s="75" t="n">
        <ns0:v>-0.05240717881513193</ns0:v>
      </ns0:c>
      <ns0:c r="M35" s="75" t="n">
        <ns0:v>-0.000261989514838375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-0.2452234865757119</ns0:v>
      </ns0:c>
      <ns0:c r="C36" s="75" t="n">
        <ns0:v>0.1557014304771012</ns0:v>
      </ns0:c>
      <ns0:c r="D36" s="75" t="n">
        <ns0:v>-0.05563853979932348</ns0:v>
      </ns0:c>
      <ns0:c r="E36" s="75" t="n">
        <ns0:v>0.2850617547565858</ns0:v>
      </ns0:c>
      <ns0:c r="F36" s="75" t="n">
        <ns0:v>-0.1014548866000187</ns0:v>
      </ns0:c>
      <ns0:c r="G36" s="75" t="n">
        <ns0:v>-0.03269064384446804</ns0:v>
      </ns0:c>
      <ns0:c r="H36" s="75" t="n">
        <ns0:v>0.1707529546282365</ns0:v>
      </ns0:c>
      <ns0:c r="I36" s="75" t="n">
        <ns0:v>0.08970779668209122</ns0:v>
      </ns0:c>
      <ns0:c r="J36" s="75" t="n">
        <ns0:v>-0.1374161021565511</ns0:v>
      </ns0:c>
      <ns0:c r="K36" s="75" t="n">
        <ns0:v>-0.2151978044652418</ns0:v>
      </ns0:c>
      <ns0:c r="L36" s="74" t="n">
        <ns0:v>-0.8867453590105938</ns0:v>
      </ns0:c>
      <ns0:c r="M36" s="75" t="n">
        <ns0:v>0.09578751186464701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0.2299852168355869</ns0:v>
      </ns0:c>
      <ns0:c r="C37" s="75" t="n">
        <ns0:v>-0.1561978686422688</ns0:v>
      </ns0:c>
      <ns0:c r="D37" s="75" t="n">
        <ns0:v>-0.180976450834594</ns0:v>
      </ns0:c>
      <ns0:c r="E37" s="75" t="n">
        <ns0:v>-0.3526864149219637</ns0:v>
      </ns0:c>
      <ns0:c r="F37" s="75" t="n">
        <ns0:v>-0.05511633490835462</ns0:v>
      </ns0:c>
      <ns0:c r="G37" s="75" t="n">
        <ns0:v>0.05794909734821224</ns0:v>
      </ns0:c>
      <ns0:c r="H37" s="75" t="n">
        <ns0:v>-0.1179811341911484</ns0:v>
      </ns0:c>
      <ns0:c r="I37" s="75" t="n">
        <ns0:v>-0.03853706894600199</ns0:v>
      </ns0:c>
      <ns0:c r="J37" s="75" t="n">
        <ns0:v>0.1935754853883536</ns0:v>
      </ns0:c>
      <ns0:c r="K37" s="75" t="n">
        <ns0:v>-0.04666197184928068</ns0:v>
      </ns0:c>
      <ns0:c r="L37" s="75" t="n">
        <ns0:v>0.01580851008379065</ns0:v>
      </ns0:c>
      <ns0:c r="M37" s="74" t="n">
        <ns0:v>-0.4239619482948357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-1.080884300493313</ns0:v>
      </ns0:c>
      <ns0:c r="C42" s="78" t="n">
        <ns0:v>0.02382079077012237</ns0:v>
      </ns0:c>
      <ns0:c r="D42" s="78" t="n">
        <ns0:v>-0.1394623994889305</ns0:v>
      </ns0:c>
      <ns0:c r="E42" s="78" t="n">
        <ns0:v>0.02356740413811555</ns0:v>
      </ns0:c>
      <ns0:c r="F42" s="78" t="n">
        <ns0:v>-0.0331517962315385</ns0:v>
      </ns0:c>
      <ns0:c r="G42" s="78" t="n">
        <ns0:v>-0.08633015060829392</ns0:v>
      </ns0:c>
      <ns0:c r="H42" s="78" t="n">
        <ns0:v>-0.105905456140314</ns0:v>
      </ns0:c>
      <ns0:c r="I42" s="78" t="n">
        <ns0:v>-0.02669068573813345</ns0:v>
      </ns0:c>
      <ns0:c r="J42" s="78" t="n">
        <ns0:v>-0.008443550119409924</ns0:v>
      </ns0:c>
      <ns0:c r="K42" s="78" t="n">
        <ns0:v>-0.09546209419614018</ns0:v>
      </ns0:c>
      <ns0:c r="L42" s="78" t="n">
        <ns0:v>-0.1319703420463209</ns0:v>
      </ns0:c>
      <ns0:c r="M42" s="78" t="n">
        <ns0:v>0.04998227073044939</ns0:v>
      </ns0:c>
    </ns0:row>
    <ns0:row r="43" ht="30" customHeight="1">
      <ns0:c r="A43" s="73" t="inlineStr">
        <ns0:is>
          <ns0:t>نان و غلات</ns0:t>
        </ns0:is>
      </ns0:c>
      <ns0:c r="B43" s="78" t="n">
        <ns0:v>0.2203923760557451</ns0:v>
      </ns0:c>
      <ns0:c r="C43" s="77" t="n">
        <ns0:v>-0.3695907370527084</ns0:v>
      </ns0:c>
      <ns0:c r="D43" s="78" t="n">
        <ns0:v>0.5416536008102002</ns0:v>
      </ns0:c>
      <ns0:c r="E43" s="78" t="n">
        <ns0:v>-0.1854617047369619</ns0:v>
      </ns0:c>
      <ns0:c r="F43" s="78" t="n">
        <ns0:v>0.001573845519281653</ns0:v>
      </ns0:c>
      <ns0:c r="G43" s="78" t="n">
        <ns0:v>0.07392060850552763</ns0:v>
      </ns0:c>
      <ns0:c r="H43" s="78" t="n">
        <ns0:v>-0.1005444091516011</ns0:v>
      </ns0:c>
      <ns0:c r="I43" s="78" t="n">
        <ns0:v>0.09063580221042895</ns0:v>
      </ns0:c>
      <ns0:c r="J43" s="78" t="n">
        <ns0:v>0.06123185919264188</ns0:v>
      </ns0:c>
      <ns0:c r="K43" s="78" t="n">
        <ns0:v>-0.003815123794908133</ns0:v>
      </ns0:c>
      <ns0:c r="L43" s="78" t="n">
        <ns0:v>0.1899298770754205</ns0:v>
      </ns0:c>
      <ns0:c r="M43" s="78" t="n">
        <ns0:v>-0.06029751143110238</ns0:v>
      </ns0:c>
    </ns0:row>
    <ns0:row r="44" ht="30" customHeight="1">
      <ns0:c r="A44" s="73" t="inlineStr">
        <ns0:is>
          <ns0:t>گوشت</ns0:t>
        </ns0:is>
      </ns0:c>
      <ns0:c r="B44" s="78" t="n">
        <ns0:v>-0.0002368147085402342</ns0:v>
      </ns0:c>
      <ns0:c r="C44" s="78" t="n">
        <ns0:v>0.02258665566980243</ns0:v>
      </ns0:c>
      <ns0:c r="D44" s="77" t="n">
        <ns0:v>-0.9565228210149632</ns0:v>
      </ns0:c>
      <ns0:c r="E44" s="78" t="n">
        <ns0:v>-0.01957916392188293</ns0:v>
      </ns0:c>
      <ns0:c r="F44" s="78" t="n">
        <ns0:v>-0.06413044371904288</ns0:v>
      </ns0:c>
      <ns0:c r="G44" s="78" t="n">
        <ns0:v>-0.004114997563386959</ns0:v>
      </ns0:c>
      <ns0:c r="H44" s="78" t="n">
        <ns0:v>-0.08392915411509798</ns0:v>
      </ns0:c>
      <ns0:c r="I44" s="78" t="n">
        <ns0:v>-0.01869868225800966</ns0:v>
      </ns0:c>
      <ns0:c r="J44" s="78" t="n">
        <ns0:v>-0.03183722671275985</ns0:v>
      </ns0:c>
      <ns0:c r="K44" s="78" t="n">
        <ns0:v>-0.004768065805490797</ns0:v>
      </ns0:c>
      <ns0:c r="L44" s="78" t="n">
        <ns0:v>-0.03929895922407871</ns0:v>
      </ns0:c>
      <ns0:c r="M44" s="78" t="n">
        <ns0:v>-0.03853410554431415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0.1087639817194687</ns0:v>
      </ns0:c>
      <ns0:c r="C45" s="78" t="n">
        <ns0:v>-0.1783631986280276</ns0:v>
      </ns0:c>
      <ns0:c r="D45" s="78" t="n">
        <ns0:v>0.06797125321971596</ns0:v>
      </ns0:c>
      <ns0:c r="E45" s="77" t="n">
        <ns0:v>-0.7921096887489707</ns0:v>
      </ns0:c>
      <ns0:c r="F45" s="78" t="n">
        <ns0:v>-0.01092088479987306</ns0:v>
      </ns0:c>
      <ns0:c r="G45" s="78" t="n">
        <ns0:v>0.03440123065544731</ns0:v>
      </ns0:c>
      <ns0:c r="H45" s="78" t="n">
        <ns0:v>-0.143769719162741</ns0:v>
      </ns0:c>
      <ns0:c r="I45" s="78" t="n">
        <ns0:v>0.04561451408409359</ns0:v>
      </ns0:c>
      <ns0:c r="J45" s="78" t="n">
        <ns0:v>0.1057002721556412</ns0:v>
      </ns0:c>
      <ns0:c r="K45" s="78" t="n">
        <ns0:v>-0.05079578126886354</ns0:v>
      </ns0:c>
      <ns0:c r="L45" s="78" t="n">
        <ns0:v>0.110673054664631</ns0:v>
      </ns0:c>
      <ns0:c r="M45" s="78" t="n">
        <ns0:v>-0.1149110856178527</ns0:v>
      </ns0:c>
    </ns0:row>
    <ns0:row r="46" ht="30" customHeight="1">
      <ns0:c r="A46" s="73" t="inlineStr">
        <ns0:is>
          <ns0:t>روغن و چربی</ns0:t>
        </ns0:is>
      </ns0:c>
      <ns0:c r="B46" s="78" t="n">
        <ns0:v>0.01191028470535739</ns0:v>
      </ns0:c>
      <ns0:c r="C46" s="78" t="n">
        <ns0:v>-0.1065033051139958</ns0:v>
      </ns0:c>
      <ns0:c r="D46" s="78" t="n">
        <ns0:v>-0.2149761826305821</ns0:v>
      </ns0:c>
      <ns0:c r="E46" s="78" t="n">
        <ns0:v>0.08222083914678729</ns0:v>
      </ns0:c>
      <ns0:c r="F46" s="77" t="n">
        <ns0:v>-0.4695995795285449</ns0:v>
      </ns0:c>
      <ns0:c r="G46" s="78" t="n">
        <ns0:v>-0.05622314233605959</ns0:v>
      </ns0:c>
      <ns0:c r="H46" s="78" t="n">
        <ns0:v>-0.1247522568099053</ns0:v>
      </ns0:c>
      <ns0:c r="I46" s="78" t="n">
        <ns0:v>-0.1284549110675764</ns0:v>
      </ns0:c>
      <ns0:c r="J46" s="78" t="n">
        <ns0:v>0.03369613505622146</ns0:v>
      </ns0:c>
      <ns0:c r="K46" s="78" t="n">
        <ns0:v>-0.01697014799321646</ns0:v>
      </ns0:c>
      <ns0:c r="L46" s="78" t="n">
        <ns0:v>-0.08921147556315974</ns0:v>
      </ns0:c>
      <ns0:c r="M46" s="78" t="n">
        <ns0:v>-0.02020599385466357</ns0:v>
      </ns0:c>
    </ns0:row>
    <ns0:row r="47" ht="30" customHeight="1">
      <ns0:c r="A47" s="73" t="inlineStr">
        <ns0:is>
          <ns0:t>میوه</ns0:t>
        </ns0:is>
      </ns0:c>
      <ns0:c r="B47" s="78" t="n">
        <ns0:v>-0.1606438707153602</ns0:v>
      </ns0:c>
      <ns0:c r="C47" s="78" t="n">
        <ns0:v>-0.01036692138825379</ns0:v>
      </ns0:c>
      <ns0:c r="D47" s="78" t="n">
        <ns0:v>-0.01513843169562175</ns0:v>
      </ns0:c>
      <ns0:c r="E47" s="78" t="n">
        <ns0:v>0.04234326683031654</ns0:v>
      </ns0:c>
      <ns0:c r="F47" s="78" t="n">
        <ns0:v>-0.0979060264420397</ns0:v>
      </ns0:c>
      <ns0:c r="G47" s="77" t="n">
        <ns0:v>-1.062503310219506</ns0:v>
      </ns0:c>
      <ns0:c r="H47" s="78" t="n">
        <ns0:v>0.1066134944771598</ns0:v>
      </ns0:c>
      <ns0:c r="I47" s="78" t="n">
        <ns0:v>-0.05175538429668286</ns0:v>
      </ns0:c>
      <ns0:c r="J47" s="78" t="n">
        <ns0:v>-0.1983402353369105</ns0:v>
      </ns0:c>
      <ns0:c r="K47" s="78" t="n">
        <ns0:v>0.04799685825716486</ns0:v>
      </ns0:c>
      <ns0:c r="L47" s="78" t="n">
        <ns0:v>-0.03061929024043367</ns0:v>
      </ns0:c>
      <ns0:c r="M47" s="78" t="n">
        <ns0:v>0.0248314367821306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-0.00938512218580817</ns0:v>
      </ns0:c>
      <ns0:c r="C48" s="78" t="n">
        <ns0:v>-0.1171424657448236</ns0:v>
      </ns0:c>
      <ns0:c r="D48" s="78" t="n">
        <ns0:v>-0.03925229838542573</ns0:v>
      </ns0:c>
      <ns0:c r="E48" s="78" t="n">
        <ns0:v>-0.1174941371213988</ns0:v>
      </ns0:c>
      <ns0:c r="F48" s="78" t="n">
        <ns0:v>-0.002758396596055763</ns0:v>
      </ns0:c>
      <ns0:c r="G48" s="78" t="n">
        <ns0:v>0.04522888850572282</ns0:v>
      </ns0:c>
      <ns0:c r="H48" s="77" t="n">
        <ns0:v>-0.5036412491352167</ns0:v>
      </ns0:c>
      <ns0:c r="I48" s="78" t="n">
        <ns0:v>0.002897812771666545</ns0:v>
      </ns0:c>
      <ns0:c r="J48" s="78" t="n">
        <ns0:v>0.00752056843289727</ns0:v>
      </ns0:c>
      <ns0:c r="K48" s="78" t="n">
        <ns0:v>-0.05756610073298534</ns0:v>
      </ns0:c>
      <ns0:c r="L48" s="78" t="n">
        <ns0:v>0.05420368654143332</ns0:v>
      </ns0:c>
      <ns0:c r="M48" s="78" t="n">
        <ns0:v>-0.02129071733139807</ns0:v>
      </ns0:c>
    </ns0:row>
    <ns0:row r="49" ht="30" customHeight="1">
      <ns0:c r="A49" s="73" t="inlineStr">
        <ns0:is>
          <ns0:t>حبوبات</ns0:t>
        </ns0:is>
      </ns0:c>
      <ns0:c r="B49" s="78" t="n">
        <ns0:v>-0.07739438577739109</ns0:v>
      </ns0:c>
      <ns0:c r="C49" s="78" t="n">
        <ns0:v>-0.02584163978527688</ns0:v>
      </ns0:c>
      <ns0:c r="D49" s="78" t="n">
        <ns0:v>-0.01431611284387175</ns0:v>
      </ns0:c>
      <ns0:c r="E49" s="78" t="n">
        <ns0:v>0.1993202529497995</ns0:v>
      </ns0:c>
      <ns0:c r="F49" s="78" t="n">
        <ns0:v>-0.1131181032890725</ns0:v>
      </ns0:c>
      <ns0:c r="G49" s="78" t="n">
        <ns0:v>-0.07023494670160203</ns0:v>
      </ns0:c>
      <ns0:c r="H49" s="78" t="n">
        <ns0:v>-0.1509316942441666</ns0:v>
      </ns0:c>
      <ns0:c r="I49" s="77" t="n">
        <ns0:v>-0.7343116357482525</ns0:v>
      </ns0:c>
      <ns0:c r="J49" s="78" t="n">
        <ns0:v>-0.1063114530981924</ns0:v>
      </ns0:c>
      <ns0:c r="K49" s="78" t="n">
        <ns0:v>-0.173952548151971</ns0:v>
      </ns0:c>
      <ns0:c r="L49" s="78" t="n">
        <ns0:v>0.01015627506028038</ns0:v>
      </ns0:c>
      <ns0:c r="M49" s="78" t="n">
        <ns0:v>-0.006321648705620942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-0.1036957506959559</ns0:v>
      </ns0:c>
      <ns0:c r="C50" s="78" t="n">
        <ns0:v>0.02592497052670355</ns0:v>
      </ns0:c>
      <ns0:c r="D50" s="78" t="n">
        <ns0:v>-0.3140854699685186</ns0:v>
      </ns0:c>
      <ns0:c r="E50" s="78" t="n">
        <ns0:v>0.2340860863287685</ns0:v>
      </ns0:c>
      <ns0:c r="F50" s="78" t="n">
        <ns0:v>0.01537430660354537</ns0:v>
      </ns0:c>
      <ns0:c r="G50" s="78" t="n">
        <ns0:v>-0.2334883426303058</ns0:v>
      </ns0:c>
      <ns0:c r="H50" s="78" t="n">
        <ns0:v>-0.07253226115932486</ns0:v>
      </ns0:c>
      <ns0:c r="I50" s="78" t="n">
        <ns0:v>-0.1436715659271441</ns0:v>
      </ns0:c>
      <ns0:c r="J50" s="77" t="n">
        <ns0:v>-0.9401498830224417</ns0:v>
      </ns0:c>
      <ns0:c r="K50" s="78" t="n">
        <ns0:v>-0.09667132378303657</ns0:v>
      </ns0:c>
      <ns0:c r="L50" s="78" t="n">
        <ns0:v>-0.1602240203919633</ns0:v>
      </ns0:c>
      <ns0:c r="M50" s="78" t="n">
        <ns0:v>0.1144704066809352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-0.09803330485875644</ns0:v>
      </ns0:c>
      <ns0:c r="C51" s="78" t="n">
        <ns0:v>-0.04793698147158508</ns0:v>
      </ns0:c>
      <ns0:c r="D51" s="78" t="n">
        <ns0:v>-0.008405571083837498</ns0:v>
      </ns0:c>
      <ns0:c r="E51" s="78" t="n">
        <ns0:v>-0.1010815680049669</ns0:v>
      </ns0:c>
      <ns0:c r="F51" s="78" t="n">
        <ns0:v>-0.006695143121833474</ns0:v>
      </ns0:c>
      <ns0:c r="G51" s="78" t="n">
        <ns0:v>0.04432331010022605</ns0:v>
      </ns0:c>
      <ns0:c r="H51" s="78" t="n">
        <ns0:v>-0.09804309431474945</ns0:v>
      </ns0:c>
      <ns0:c r="I51" s="78" t="n">
        <ns0:v>-0.03446048062771991</ns0:v>
      </ns0:c>
      <ns0:c r="J51" s="78" t="n">
        <ns0:v>-0.02968678357657524</ns0:v>
      </ns0:c>
      <ns0:c r="K51" s="77" t="n">
        <ns0:v>-0.5979402737808051</ns0:v>
      </ns0:c>
      <ns0:c r="L51" s="78" t="n">
        <ns0:v>-0.05299951713121275</ns0:v>
      </ns0:c>
      <ns0:c r="M51" s="78" t="n">
        <ns0:v>-0.002206474425368408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-0.268644298560737</ns0:v>
      </ns0:c>
      <ns0:c r="C52" s="78" t="n">
        <ns0:v>0.1356864827269582</ns0:v>
      </ns0:c>
      <ns0:c r="D52" s="78" t="n">
        <ns0:v>-0.09775489334080897</ns0:v>
      </ns0:c>
      <ns0:c r="E52" s="78" t="n">
        <ns0:v>0.2491658523204184</ns0:v>
      </ns0:c>
      <ns0:c r="F52" s="78" t="n">
        <ns0:v>-0.1086399851755724</ns0:v>
      </ns0:c>
      <ns0:c r="G52" s="78" t="n">
        <ns0:v>-0.04169087155092609</ns0:v>
      </ns0:c>
      <ns0:c r="H52" s="78" t="n">
        <ns0:v>0.1411037546588915</ns0:v>
      </ns0:c>
      <ns0:c r="I52" s="78" t="n">
        <ns0:v>0.07367844429599077</ns0:v>
      </ns0:c>
      <ns0:c r="J52" s="78" t="n">
        <ns0:v>-0.1286868914738392</ns0:v>
      </ns0:c>
      <ns0:c r="K52" s="78" t="n">
        <ns0:v>-0.2260192150149282</ns0:v>
      </ns0:c>
      <ns0:c r="L52" s="77" t="n">
        <ns0:v>-0.8974544844603451</ns0:v>
      </ns0:c>
      <ns0:c r="M52" s="78" t="n">
        <ns0:v>0.08674968586250584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0.24129201594214</ns0:v>
      </ns0:c>
      <ns0:c r="C53" s="78" t="n">
        <ns0:v>-0.1318431679607042</ns0:v>
      </ns0:c>
      <ns0:c r="D53" s="78" t="n">
        <ns0:v>-0.1437465362304757</ns0:v>
      </ns0:c>
      <ns0:c r="E53" s="78" t="n">
        <ns0:v>-0.3230250789181516</ns0:v>
      </ns0:c>
      <ns0:c r="F53" s="78" t="n">
        <ns0:v>-0.05085729005766328</ns0:v>
      </ns0:c>
      <ns0:c r="G53" s="78" t="n">
        <ns0:v>0.0638510853848536</ns0:v>
      </ns0:c>
      <ns0:c r="H53" s="78" t="n">
        <ns0:v>-0.09222555591189271</ns0:v>
      </ns0:c>
      <ns0:c r="I53" s="78" t="n">
        <ns0:v>-0.03315929534272458</ns0:v>
      </ns0:c>
      <ns0:c r="J53" s="78" t="n">
        <ns0:v>0.1844691135310867</ns0:v>
      </ns0:c>
      <ns0:c r="K53" s="78" t="n">
        <ns0:v>-0.03495594541541487</ns0:v>
      </ns0:c>
      <ns0:c r="L53" s="78" t="n">
        <ns0:v>0.02285235591075873</ns0:v>
      </ns0:c>
      <ns0:c r="M53" s="77" t="n">
        <ns0:v>-0.4209917162730745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14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کوهرت 1392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-1.0762</ns0:v>
      </ns0:c>
      <ns0:c r="C6" s="69" t="n">
        <ns0:v>-1.0737</ns0:v>
      </ns0:c>
      <ns0:c r="D6" s="70" t="n">
        <ns0:v>1.5723</ns0:v>
      </ns0:c>
      <ns0:c r="E6" s="69" t="n">
        <ns0:v>1.6182</ns0:v>
      </ns0:c>
    </ns0:row>
    <ns0:row r="7" ht="23" customHeight="1">
      <ns0:c r="A7" s="28" t="inlineStr">
        <ns0:is>
          <ns0:t>نان و غلات</ns0:t>
        </ns0:is>
      </ns0:c>
      <ns0:c r="B7" s="68" t="n">
        <ns0:v>-0.7199</ns0:v>
      </ns0:c>
      <ns0:c r="C7" s="69" t="n">
        <ns0:v>-0.6909999999999999</ns0:v>
      </ns0:c>
      <ns0:c r="D7" s="70" t="n">
        <ns0:v>0.5941</ns0:v>
      </ns0:c>
      <ns0:c r="E7" s="69" t="n">
        <ns0:v>0.5051</ns0:v>
      </ns0:c>
    </ns0:row>
    <ns0:row r="8" ht="23" customHeight="1">
      <ns0:c r="A8" s="28" t="inlineStr">
        <ns0:is>
          <ns0:t>گوشت</ns0:t>
        </ns0:is>
      </ns0:c>
      <ns0:c r="B8" s="68" t="n">
        <ns0:v>-0.9092</ns0:v>
      </ns0:c>
      <ns0:c r="C8" s="69" t="n">
        <ns0:v>-0.9202</ns0:v>
      </ns0:c>
      <ns0:c r="D8" s="70" t="n">
        <ns0:v>1.2327</ns0:v>
      </ns0:c>
      <ns0:c r="E8" s="69" t="n">
        <ns0:v>1.2542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-0.7909</ns0:v>
      </ns0:c>
      <ns0:c r="C9" s="69" t="n">
        <ns0:v>-0.7845</ns0:v>
      </ns0:c>
      <ns0:c r="D9" s="70" t="n">
        <ns0:v>0.8612</ns0:v>
      </ns0:c>
      <ns0:c r="E9" s="69" t="n">
        <ns0:v>0.8345</ns0:v>
      </ns0:c>
    </ns0:row>
    <ns0:row r="10" ht="23" customHeight="1">
      <ns0:c r="A10" s="28" t="inlineStr">
        <ns0:is>
          <ns0:t>روغن و چربی</ns0:t>
        </ns0:is>
      </ns0:c>
      <ns0:c r="B10" s="68" t="n">
        <ns0:v>-0.4617</ns0:v>
      </ns0:c>
      <ns0:c r="C10" s="69" t="n">
        <ns0:v>-0.4604</ns0:v>
      </ns0:c>
      <ns0:c r="D10" s="70" t="n">
        <ns0:v>0.7064</ns0:v>
      </ns0:c>
      <ns0:c r="E10" s="69" t="n">
        <ns0:v>1.0178</ns0:v>
      </ns0:c>
    </ns0:row>
    <ns0:row r="11" ht="23" customHeight="1">
      <ns0:c r="A11" s="28" t="inlineStr">
        <ns0:is>
          <ns0:t>میوه</ns0:t>
        </ns0:is>
      </ns0:c>
      <ns0:c r="B11" s="68" t="n">
        <ns0:v>-1.0502</ns0:v>
      </ns0:c>
      <ns0:c r="C11" s="69" t="n">
        <ns0:v>-1.0445</ns0:v>
      </ns0:c>
      <ns0:c r="D11" s="70" t="n">
        <ns0:v>1.2741</ns0:v>
      </ns0:c>
      <ns0:c r="E11" s="69" t="n">
        <ns0:v>1.3028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-0.3902</ns0:v>
      </ns0:c>
      <ns0:c r="C12" s="69" t="n">
        <ns0:v>-0.3772</ns0:v>
      </ns0:c>
      <ns0:c r="D12" s="70" t="n">
        <ns0:v>0.7049</ns0:v>
      </ns0:c>
      <ns0:c r="E12" s="69" t="n">
        <ns0:v>0.6263</ns0:v>
      </ns0:c>
    </ns0:row>
    <ns0:row r="13" ht="23" customHeight="1">
      <ns0:c r="A13" s="28" t="inlineStr">
        <ns0:is>
          <ns0:t>حبوبات</ns0:t>
        </ns0:is>
      </ns0:c>
      <ns0:c r="B13" s="68" t="n">
        <ns0:v>-0.6778</ns0:v>
      </ns0:c>
      <ns0:c r="C13" s="69" t="n">
        <ns0:v>-0.7032</ns0:v>
      </ns0:c>
      <ns0:c r="D13" s="70" t="n">
        <ns0:v>0.9203</ns0:v>
      </ns0:c>
      <ns0:c r="E13" s="69" t="n">
        <ns0:v>1.1869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-0.995</ns0:v>
      </ns0:c>
      <ns0:c r="C14" s="69" t="n">
        <ns0:v>-1.0015</ns0:v>
      </ns0:c>
      <ns0:c r="D14" s="70" t="n">
        <ns0:v>2.1212</ns0:v>
      </ns0:c>
      <ns0:c r="E14" s="69" t="n">
        <ns0:v>1.6553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-0.4879</ns0:v>
      </ns0:c>
      <ns0:c r="C15" s="69" t="n">
        <ns0:v>-0.4857</ns0:v>
      </ns0:c>
      <ns0:c r="D15" s="70" t="n">
        <ns0:v>0.9738</ns0:v>
      </ns0:c>
      <ns0:c r="E15" s="69" t="n">
        <ns0:v>0.9472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-0.8260999999999999</ns0:v>
      </ns0:c>
      <ns0:c r="C16" s="69" t="n">
        <ns0:v>-0.8353</ns0:v>
      </ns0:c>
      <ns0:c r="D16" s="70" t="n">
        <ns0:v>0.8273</ns0:v>
      </ns0:c>
      <ns0:c r="E16" s="69" t="n">
        <ns0:v>1.0044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-0.382</ns0:v>
      </ns0:c>
      <ns0:c r="C17" s="69" t="n">
        <ns0:v>-0.3799</ns0:v>
      </ns0:c>
      <ns0:c r="D17" s="70" t="n">
        <ns0:v>0.7889</ns0:v>
      </ns0:c>
      <ns0:c r="E17" s="69" t="n">
        <ns0:v>0.6173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-1.076157984330216</ns0:v>
      </ns0:c>
      <ns0:c r="C26" s="75" t="n">
        <ns0:v>-0.005133421114596397</ns0:v>
      </ns0:c>
      <ns0:c r="D26" s="75" t="n">
        <ns0:v>-0.09366135464926451</ns0:v>
      </ns0:c>
      <ns0:c r="E26" s="75" t="n">
        <ns0:v>0.01824096519691423</ns0:v>
      </ns0:c>
      <ns0:c r="F26" s="75" t="n">
        <ns0:v>-0.03966746772234148</ns0:v>
      </ns0:c>
      <ns0:c r="G26" s="75" t="n">
        <ns0:v>-0.07546180402423075</ns0:v>
      </ns0:c>
      <ns0:c r="H26" s="75" t="n">
        <ns0:v>-0.08615495391891634</ns0:v>
      </ns0:c>
      <ns0:c r="I26" s="75" t="n">
        <ns0:v>-0.03612877090844811</ns0:v>
      </ns0:c>
      <ns0:c r="J26" s="75" t="n">
        <ns0:v>-0.01846984229958991</ns0:v>
      </ns0:c>
      <ns0:c r="K26" s="75" t="n">
        <ns0:v>-0.08290765907226282</ns0:v>
      </ns0:c>
      <ns0:c r="L26" s="75" t="n">
        <ns0:v>-0.1185412172251859</ns0:v>
      </ns0:c>
      <ns0:c r="M26" s="75" t="n">
        <ns0:v>0.04380283528431447</ns0:v>
      </ns0:c>
    </ns0:row>
    <ns0:row r="27" ht="30" customHeight="1">
      <ns0:c r="A27" s="73" t="inlineStr">
        <ns0:is>
          <ns0:t>نان و غلات</ns0:t>
        </ns0:is>
      </ns0:c>
      <ns0:c r="B27" s="75" t="n">
        <ns0:v>0.09933323713376102</ns0:v>
      </ns0:c>
      <ns0:c r="C27" s="74" t="n">
        <ns0:v>-0.7199071808142599</ns0:v>
      </ns0:c>
      <ns0:c r="D27" s="75" t="n">
        <ns0:v>0.15629894375508</ns0:v>
      </ns0:c>
      <ns0:c r="E27" s="75" t="n">
        <ns0:v>-0.1102830005069497</ns0:v>
      </ns0:c>
      <ns0:c r="F27" s="75" t="n">
        <ns0:v>-0.004774111806037058</ns0:v>
      </ns0:c>
      <ns0:c r="G27" s="75" t="n">
        <ns0:v>0.02136382055140637</ns0:v>
      </ns0:c>
      <ns0:c r="H27" s="75" t="n">
        <ns0:v>-0.08337088780856401</ns0:v>
      </ns0:c>
      <ns0:c r="I27" s="75" t="n">
        <ns0:v>0.02293819479087547</ns0:v>
      </ns0:c>
      <ns0:c r="J27" s="75" t="n">
        <ns0:v>0.02718950962342683</ns0:v>
      </ns0:c>
      <ns0:c r="K27" s="75" t="n">
        <ns0:v>-0.003323490352622415</ns0:v>
      </ns0:c>
      <ns0:c r="L27" s="75" t="n">
        <ns0:v>0.0650151217137193</ns0:v>
      </ns0:c>
      <ns0:c r="M27" s="75" t="n">
        <ns0:v>-0.0391147985634721</ns0:v>
      </ns0:c>
    </ns0:row>
    <ns0:row r="28" ht="30" customHeight="1">
      <ns0:c r="A28" s="73" t="inlineStr">
        <ns0:is>
          <ns0:t>گوشت</ns0:t>
        </ns0:is>
      </ns0:c>
      <ns0:c r="B28" s="75" t="n">
        <ns0:v>0.002157858520221677</ns0:v>
      </ns0:c>
      <ns0:c r="C28" s="75" t="n">
        <ns0:v>0.0199183992023718</ns0:v>
      </ns0:c>
      <ns0:c r="D28" s="74" t="n">
        <ns0:v>-0.9091511914516369</ns0:v>
      </ns0:c>
      <ns0:c r="E28" s="75" t="n">
        <ns0:v>-0.01253522500451088</ns0:v>
      </ns0:c>
      <ns0:c r="F28" s="75" t="n">
        <ns0:v>-0.08700043884946838</ns0:v>
      </ns0:c>
      <ns0:c r="G28" s="75" t="n">
        <ns0:v>-0.004445780835052937</ns0:v>
      </ns0:c>
      <ns0:c r="H28" s="75" t="n">
        <ns0:v>-0.08990277415892663</ns0:v>
      </ns0:c>
      <ns0:c r="I28" s="75" t="n">
        <ns0:v>-0.02058567217598354</ns0:v>
      </ns0:c>
      <ns0:c r="J28" s="75" t="n">
        <ns0:v>-0.04223589096175583</ns0:v>
      </ns0:c>
      <ns0:c r="K28" s="75" t="n">
        <ns0:v>0.00503338282412057</ns0:v>
      </ns0:c>
      <ns0:c r="L28" s="75" t="n">
        <ns0:v>-0.04861239307243208</ns0:v>
      </ns0:c>
      <ns0:c r="M28" s="75" t="n">
        <ns0:v>-0.04634340952001525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0.1119788481198253</ns0:v>
      </ns0:c>
      <ns0:c r="C29" s="75" t="n">
        <ns0:v>-0.1859421463779068</ns0:v>
      </ns0:c>
      <ns0:c r="D29" s="75" t="n">
        <ns0:v>0.05693330782684847</ns0:v>
      </ns0:c>
      <ns0:c r="E29" s="74" t="n">
        <ns0:v>-0.7909274317633181</ns0:v>
      </ns0:c>
      <ns0:c r="F29" s="75" t="n">
        <ns0:v>0.001668636795149561</ns0:v>
      </ns0:c>
      <ns0:c r="G29" s="75" t="n">
        <ns0:v>0.03578496751985358</ns0:v>
      </ns0:c>
      <ns0:c r="H29" s="75" t="n">
        <ns0:v>-0.1625536911468116</ns0:v>
      </ns0:c>
      <ns0:c r="I29" s="75" t="n">
        <ns0:v>0.04517460261961954</ns0:v>
      </ns0:c>
      <ns0:c r="J29" s="75" t="n">
        <ns0:v>0.09210274202596785</ns0:v>
      </ns0:c>
      <ns0:c r="K29" s="75" t="n">
        <ns0:v>-0.04966262065460213</ns0:v>
      </ns0:c>
      <ns0:c r="L29" s="75" t="n">
        <ns0:v>0.1145498627320107</ns0:v>
      </ns0:c>
      <ns0:c r="M29" s="75" t="n">
        <ns0:v>-0.1244870739890376</ns0:v>
      </ns0:c>
    </ns0:row>
    <ns0:row r="30" ht="30" customHeight="1">
      <ns0:c r="A30" s="73" t="inlineStr">
        <ns0:is>
          <ns0:t>روغن و چربی</ns0:t>
        </ns0:is>
      </ns0:c>
      <ns0:c r="B30" s="75" t="n">
        <ns0:v>0.02276697504639137</ns0:v>
      </ns0:c>
      <ns0:c r="C30" s="75" t="n">
        <ns0:v>-0.01399081245718433</ns0:v>
      </ns0:c>
      <ns0:c r="D30" s="75" t="n">
        <ns0:v>-0.1781085258245934</ns0:v>
      </ns0:c>
      <ns0:c r="E30" s="75" t="n">
        <ns0:v>0.1272982868603928</ns0:v>
      </ns0:c>
      <ns0:c r="F30" s="74" t="n">
        <ns0:v>-0.4617067792429387</ns0:v>
      </ns0:c>
      <ns0:c r="G30" s="75" t="n">
        <ns0:v>-0.03718588825966671</ns0:v>
      </ns0:c>
      <ns0:c r="H30" s="75" t="n">
        <ns0:v>-0.06478249818909293</ns0:v>
      </ns0:c>
      <ns0:c r="I30" s="75" t="n">
        <ns0:v>-0.09773228157089343</ns0:v>
      </ns0:c>
      <ns0:c r="J30" s="75" t="n">
        <ns0:v>0.06278066008398729</ns0:v>
      </ns0:c>
      <ns0:c r="K30" s="75" t="n">
        <ns0:v>-0.01134920294426719</ns0:v>
      </ns0:c>
      <ns0:c r="L30" s="75" t="n">
        <ns0:v>-0.07209601610304489</ns0:v>
      </ns0:c>
      <ns0:c r="M30" s="75" t="n">
        <ns0:v>-0.006575151001920033</ns0:v>
      </ns0:c>
    </ns0:row>
    <ns0:row r="31" ht="30" customHeight="1">
      <ns0:c r="A31" s="73" t="inlineStr">
        <ns0:is>
          <ns0:t>میوه</ns0:t>
        </ns0:is>
      </ns0:c>
      <ns0:c r="B31" s="75" t="n">
        <ns0:v>-0.1627482532919021</ns0:v>
      </ns0:c>
      <ns0:c r="C31" s="75" t="n">
        <ns0:v>0.006874300352688567</ns0:v>
      </ns0:c>
      <ns0:c r="D31" s="75" t="n">
        <ns0:v>-2.390465701071001e-06</ns0:v>
      </ns0:c>
      <ns0:c r="E31" s="75" t="n">
        <ns0:v>0.05722956642653832</ns0:v>
      </ns0:c>
      <ns0:c r="F31" s="75" t="n">
        <ns0:v>-0.08495160811815312</ns0:v>
      </ns0:c>
      <ns0:c r="G31" s="74" t="n">
        <ns0:v>-1.050213859517733</ns0:v>
      </ns0:c>
      <ns0:c r="H31" s="75" t="n">
        <ns0:v>0.1268076282779913</ns0:v>
      </ns0:c>
      <ns0:c r="I31" s="75" t="n">
        <ns0:v>-0.04364865875420094</ns0:v>
      </ns0:c>
      <ns0:c r="J31" s="75" t="n">
        <ns0:v>-0.1996313925729267</ns0:v>
      </ns0:c>
      <ns0:c r="K31" s="75" t="n">
        <ns0:v>0.05975279489442561</ns0:v>
      </ns0:c>
      <ns0:c r="L31" s="75" t="n">
        <ns0:v>-0.02828086519926422</ns0:v>
      </ns0:c>
      <ns0:c r="M31" s="75" t="n">
        <ns0:v>0.03313478561187459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-0.01357772223481879</ns0:v>
      </ns0:c>
      <ns0:c r="C32" s="75" t="n">
        <ns0:v>-0.1341502834038426</ns0:v>
      </ns0:c>
      <ns0:c r="D32" s="75" t="n">
        <ns0:v>-0.08927538675073431</ns0:v>
      </ns0:c>
      <ns0:c r="E32" s="75" t="n">
        <ns0:v>-0.1643963286060769</ns0:v>
      </ns0:c>
      <ns0:c r="F32" s="75" t="n">
        <ns0:v>0.001162915046439345</ns0:v>
      </ns0:c>
      <ns0:c r="G32" s="75" t="n">
        <ns0:v>0.05984730530974808</ns0:v>
      </ns0:c>
      <ns0:c r="H32" s="74" t="n">
        <ns0:v>-0.3902028798879749</ns0:v>
      </ns0:c>
      <ns0:c r="I32" s="75" t="n">
        <ns0:v>0.002654978177972146</ns0:v>
      </ns0:c>
      <ns0:c r="J32" s="75" t="n">
        <ns0:v>0.01360668440874871</ns0:v>
      </ns0:c>
      <ns0:c r="K32" s="75" t="n">
        <ns0:v>-0.08224381764424957</ns0:v>
      </ns0:c>
      <ns0:c r="L32" s="75" t="n">
        <ns0:v>0.06991308017419526</ns0:v>
      </ns0:c>
      <ns0:c r="M32" s="75" t="n">
        <ns0:v>-0.02087129365333808</ns0:v>
      </ns0:c>
    </ns0:row>
    <ns0:row r="33" ht="30" customHeight="1">
      <ns0:c r="A33" s="73" t="inlineStr">
        <ns0:is>
          <ns0:t>حبوبات</ns0:t>
        </ns0:is>
      </ns0:c>
      <ns0:c r="B33" s="75" t="n">
        <ns0:v>-0.06371647002923013</ns0:v>
      </ns0:c>
      <ns0:c r="C33" s="75" t="n">
        <ns0:v>0.0432600956420756</ns0:v>
      </ns0:c>
      <ns0:c r="D33" s="75" t="n">
        <ns0:v>0.05271609847180937</ns0:v>
      </ns0:c>
      <ns0:c r="E33" s="75" t="n">
        <ns0:v>0.265379273539276</ns0:v>
      </ns0:c>
      <ns0:c r="F33" s="75" t="n">
        <ns0:v>-0.09577257538293715</ns0:v>
      </ns0:c>
      <ns0:c r="G33" s="75" t="n">
        <ns0:v>-0.05254573046682687</ns0:v>
      </ns0:c>
      <ns0:c r="H33" s="75" t="n">
        <ns0:v>-0.1150161599832098</ns0:v>
      </ns0:c>
      <ns0:c r="I33" s="74" t="n">
        <ns0:v>-0.6777603020824129</ns0:v>
      </ns0:c>
      <ns0:c r="J33" s="75" t="n">
        <ns0:v>-0.1263121824906297</ns0:v>
      </ns0:c>
      <ns0:c r="K33" s="75" t="n">
        <ns0:v>-0.1639500479993828</ns0:v>
      </ns0:c>
      <ns0:c r="L33" s="75" t="n">
        <ns0:v>0.03816359103717287</ns0:v>
      </ns0:c>
      <ns0:c r="M33" s="75" t="n">
        <ns0:v>0.005225770876757707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-0.1683617841942851</ns0:v>
      </ns0:c>
      <ns0:c r="C34" s="75" t="n">
        <ns0:v>-0.08784968523528328</ns0:v>
      </ns0:c>
      <ns0:c r="D34" s="75" t="n">
        <ns0:v>-0.3503545478718592</ns0:v>
      </ns0:c>
      <ns0:c r="E34" s="75" t="n">
        <ns0:v>0.07282955487740897</ns0:v>
      </ns0:c>
      <ns0:c r="F34" s="75" t="n">
        <ns0:v>0.001630590174312541</ns0:v>
      </ns0:c>
      <ns0:c r="G34" s="75" t="n">
        <ns0:v>-0.2038178019090419</ns0:v>
      </ns0:c>
      <ns0:c r="H34" s="75" t="n">
        <ns0:v>-0.1438448537419303</ns0:v>
      </ns0:c>
      <ns0:c r="I34" s="75" t="n">
        <ns0:v>-0.1353909092941011</ns0:v>
      </ns0:c>
      <ns0:c r="J34" s="74" t="n">
        <ns0:v>-0.9949795701030532</ns0:v>
      </ns0:c>
      <ns0:c r="K34" s="75" t="n">
        <ns0:v>-0.09270996279530128</ns0:v>
      </ns0:c>
      <ns0:c r="L34" s="75" t="n">
        <ns0:v>-0.185674398266901</ns0:v>
      </ns0:c>
      <ns0:c r="M34" s="75" t="n">
        <ns0:v>0.03343778421695384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-0.1335426084600595</ns0:v>
      </ns0:c>
      <ns0:c r="C35" s="75" t="n">
        <ns0:v>-0.06794234415833222</ns0:v>
      </ns0:c>
      <ns0:c r="D35" s="75" t="n">
        <ns0:v>0.02122548482915202</ns0:v>
      </ns0:c>
      <ns0:c r="E35" s="75" t="n">
        <ns0:v>-0.1164357967710287</ns0:v>
      </ns0:c>
      <ns0:c r="F35" s="75" t="n">
        <ns0:v>-0.01577174061697646</ns0:v>
      </ns0:c>
      <ns0:c r="G35" s="75" t="n">
        <ns0:v>0.0553679780286395</ns0:v>
      </ns0:c>
      <ns0:c r="H35" s="75" t="n">
        <ns0:v>-0.1147781435735082</ns0:v>
      </ns0:c>
      <ns0:c r="I35" s="75" t="n">
        <ns0:v>-0.04315715686790133</ns0:v>
      </ns0:c>
      <ns0:c r="J35" s="75" t="n">
        <ns0:v>-0.02690972951983056</ns0:v>
      </ns0:c>
      <ns0:c r="K35" s="74" t="n">
        <ns0:v>-0.4879051034249887</ns0:v>
      </ns0:c>
      <ns0:c r="L35" s="75" t="n">
        <ns0:v>-0.06585417288290538</ns0:v>
      </ns0:c>
      <ns0:c r="M35" s="75" t="n">
        <ns0:v>-0.002143174569234151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-0.2313943816762609</ns0:v>
      </ns0:c>
      <ns0:c r="C36" s="75" t="n">
        <ns0:v>0.1861617757127187</ns0:v>
      </ns0:c>
      <ns0:c r="D36" s="75" t="n">
        <ns0:v>-0.06926503403307398</ns0:v>
      </ns0:c>
      <ns0:c r="E36" s="75" t="n">
        <ns0:v>0.2843775288932721</ns0:v>
      </ns0:c>
      <ns0:c r="F36" s="75" t="n">
        <ns0:v>-0.09348188050880168</ns0:v>
      </ns0:c>
      <ns0:c r="G36" s="75" t="n">
        <ns0:v>-0.02259896928530177</ns0:v>
      </ns0:c>
      <ns0:c r="H36" s="75" t="n">
        <ns0:v>0.1654319896801138</ns0:v>
      </ns0:c>
      <ns0:c r="I36" s="75" t="n">
        <ns0:v>0.07126075189545179</ns0:v>
      </ns0:c>
      <ns0:c r="J36" s="75" t="n">
        <ns0:v>-0.1123779482086632</ns0:v>
      </ns0:c>
      <ns0:c r="K36" s="75" t="n">
        <ns0:v>-0.1757313052854046</ns0:v>
      </ns0:c>
      <ns0:c r="L36" s="74" t="n">
        <ns0:v>-0.8261398776597978</ns0:v>
      </ns0:c>
      <ns0:c r="M36" s="75" t="n">
        <ns0:v>0.0647103666994869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0.2457643927287804</ns0:v>
      </ns0:c>
      <ns0:c r="C37" s="75" t="n">
        <ns0:v>-0.1431056316228143</ns0:v>
      </ns0:c>
      <ns0:c r="D37" s="75" t="n">
        <ns0:v>-0.1868880527807946</ns0:v>
      </ns0:c>
      <ns0:c r="E37" s="75" t="n">
        <ns0:v>-0.3697862930928112</ns0:v>
      </ns0:c>
      <ns0:c r="F37" s="75" t="n">
        <ns0:v>-0.04685005203278134</ns0:v>
      </ns0:c>
      <ns0:c r="G37" s="75" t="n">
        <ns0:v>0.06663200793568669</ns0:v>
      </ns0:c>
      <ns0:c r="H37" s="75" t="n">
        <ns0:v>-0.1140678574189467</ns0:v>
      </ns0:c>
      <ns0:c r="I37" s="75" t="n">
        <ns0:v>-0.03774885171934584</ns0:v>
      </ns0:c>
      <ns0:c r="J37" s="75" t="n">
        <ns0:v>0.2083757348603676</ns0:v>
      </ns0:c>
      <ns0:c r="K37" s="75" t="n">
        <ns0:v>-0.04687829763073358</ns0:v>
      </ns0:c>
      <ns0:c r="L37" s="75" t="n">
        <ns0:v>0.02577332257787792</ns0:v>
      </ns0:c>
      <ns0:c r="M37" s="74" t="n">
        <ns0:v>-0.3819906405138667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-1.073723935741628</ns0:v>
      </ns0:c>
      <ns0:c r="C42" s="78" t="n">
        <ns0:v>-0.02144127212208839</ns0:v>
      </ns0:c>
      <ns0:c r="D42" s="78" t="n">
        <ns0:v>-0.105790172302528</ns0:v>
      </ns0:c>
      <ns0:c r="E42" s="78" t="n">
        <ns0:v>0.01143927904830741</ns0:v>
      </ns0:c>
      <ns0:c r="F42" s="78" t="n">
        <ns0:v>-0.0347898374695788</ns0:v>
      </ns0:c>
      <ns0:c r="G42" s="78" t="n">
        <ns0:v>-0.07673958325039351</ns0:v>
      </ns0:c>
      <ns0:c r="H42" s="78" t="n">
        <ns0:v>-0.09547574646776415</ns0:v>
      </ns0:c>
      <ns0:c r="I42" s="78" t="n">
        <ns0:v>-0.03647809310733615</ns0:v>
      </ns0:c>
      <ns0:c r="J42" s="78" t="n">
        <ns0:v>-0.02069932380276707</ns0:v>
      </ns0:c>
      <ns0:c r="K42" s="78" t="n">
        <ns0:v>-0.0821309492443527</ns0:v>
      </ns0:c>
      <ns0:c r="L42" s="78" t="n">
        <ns0:v>-0.1219156910488902</ns0:v>
      </ns0:c>
      <ns0:c r="M42" s="78" t="n">
        <ns0:v>0.04143122371929707</ns0:v>
      </ns0:c>
    </ns0:row>
    <ns0:row r="43" ht="30" customHeight="1">
      <ns0:c r="A43" s="73" t="inlineStr">
        <ns0:is>
          <ns0:t>نان و غلات</ns0:t>
        </ns0:is>
      </ns0:c>
      <ns0:c r="B43" s="78" t="n">
        <ns0:v>0.0960451661746861</ns0:v>
      </ns0:c>
      <ns0:c r="C43" s="77" t="n">
        <ns0:v>-0.690984052947367</ns0:v>
      </ns0:c>
      <ns0:c r="D43" s="78" t="n">
        <ns0:v>0.1728354534792164</ns0:v>
      </ns0:c>
      <ns0:c r="E43" s="78" t="n">
        <ns0:v>-0.09504217743113536</ns0:v>
      </ns0:c>
      <ns0:c r="F43" s="78" t="n">
        <ns0:v>-0.01668820277050178</ns0:v>
      </ns0:c>
      <ns0:c r="G43" s="78" t="n">
        <ns0:v>0.02275649637766508</ns0:v>
      </ns0:c>
      <ns0:c r="H43" s="78" t="n">
        <ns0:v>-0.07101364228952289</ns0:v>
      </ns0:c>
      <ns0:c r="I43" s="78" t="n">
        <ns0:v>0.02606190493407493</ns0:v>
      </ns0:c>
      <ns0:c r="J43" s="78" t="n">
        <ns0:v>0.0376312133120868</ns0:v>
      </ns0:c>
      <ns0:c r="K43" s="78" t="n">
        <ns0:v>-0.0004044684182397026</ns0:v>
      </ns0:c>
      <ns0:c r="L43" s="78" t="n">
        <ns0:v>0.07054581370365232</ns0:v>
      </ns0:c>
      <ns0:c r="M43" s="78" t="n">
        <ns0:v>-0.03238706340447192</ns0:v>
      </ns0:c>
    </ns0:row>
    <ns0:row r="44" ht="30" customHeight="1">
      <ns0:c r="A44" s="73" t="inlineStr">
        <ns0:is>
          <ns0:t>گوشت</ns0:t>
        </ns0:is>
      </ns0:c>
      <ns0:c r="B44" s="78" t="n">
        <ns0:v>-0.0009378468033704436</ns0:v>
      </ns0:c>
      <ns0:c r="C44" s="78" t="n">
        <ns0:v>0.01544617943384807</ns0:v>
      </ns0:c>
      <ns0:c r="D44" s="77" t="n">
        <ns0:v>-0.9201783314576594</ns0:v>
      </ns0:c>
      <ns0:c r="E44" s="78" t="n">
        <ns0:v>-0.01804530328188841</ns0:v>
      </ns0:c>
      <ns0:c r="F44" s="78" t="n">
        <ns0:v>-0.076701926571239</ns0:v>
      </ns0:c>
      <ns0:c r="G44" s="78" t="n">
        <ns0:v>-0.003106606967787316</ns0:v>
      </ns0:c>
      <ns0:c r="H44" s="78" t="n">
        <ns0:v>-0.09184057206910946</ns0:v>
      </ns0:c>
      <ns0:c r="I44" s="78" t="n">
        <ns0:v>-0.02066587194683187</ns0:v>
      </ns0:c>
      <ns0:c r="J44" s="78" t="n">
        <ns0:v>-0.0440590822906672</ns0:v>
      </ns0:c>
      <ns0:c r="K44" s="78" t="n">
        <ns0:v>-0.0007358876227757358</ns0:v>
      </ns0:c>
      <ns0:c r="L44" s="78" t="n">
        <ns0:v>-0.0467629024765735</ns0:v>
      </ns0:c>
      <ns0:c r="M44" s="78" t="n">
        <ns0:v>-0.04758376595438806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0.1134531905578303</ns0:v>
      </ns0:c>
      <ns0:c r="C45" s="78" t="n">
        <ns0:v>-0.176030560034259</ns0:v>
      </ns0:c>
      <ns0:c r="D45" s="78" t="n">
        <ns0:v>0.05693683603995591</ns0:v>
      </ns0:c>
      <ns0:c r="E45" s="77" t="n">
        <ns0:v>-0.7845177094618991</ns0:v>
      </ns0:c>
      <ns0:c r="F45" s="78" t="n">
        <ns0:v>-0.01375910011439088</ns0:v>
      </ns0:c>
      <ns0:c r="G45" s="78" t="n">
        <ns0:v>0.03552031269876422</ns0:v>
      </ns0:c>
      <ns0:c r="H45" s="78" t="n">
        <ns0:v>-0.1563014238449152</ns0:v>
      </ns0:c>
      <ns0:c r="I45" s="78" t="n">
        <ns0:v>0.04527770740970062</ns0:v>
      </ns0:c>
      <ns0:c r="J45" s="78" t="n">
        <ns0:v>0.1101950066229356</ns0:v>
      </ns0:c>
      <ns0:c r="K45" s="78" t="n">
        <ns0:v>-0.05435457815411799</ns0:v>
      </ns0:c>
      <ns0:c r="L45" s="78" t="n">
        <ns0:v>0.1135531259198634</ns0:v>
      </ns0:c>
      <ns0:c r="M45" s="78" t="n">
        <ns0:v>-0.1188671812128233</ns0:v>
      </ns0:c>
    </ns0:row>
    <ns0:row r="46" ht="30" customHeight="1">
      <ns0:c r="A46" s="73" t="inlineStr">
        <ns0:is>
          <ns0:t>روغن و چربی</ns0:t>
        </ns0:is>
      </ns0:c>
      <ns0:c r="B46" s="78" t="n">
        <ns0:v>0.01587474878381818</ns0:v>
      </ns0:c>
      <ns0:c r="C46" s="78" t="n">
        <ns0:v>-0.09234664316094464</ns0:v>
      </ns0:c>
      <ns0:c r="D46" s="78" t="n">
        <ns0:v>-0.209174219603911</ns0:v>
      </ns0:c>
      <ns0:c r="E46" s="78" t="n">
        <ns0:v>0.06963223574600159</ns0:v>
      </ns0:c>
      <ns0:c r="F46" s="77" t="n">
        <ns0:v>-0.4603554584051834</ns0:v>
      </ns0:c>
      <ns0:c r="G46" s="78" t="n">
        <ns0:v>-0.05171869466905289</ns0:v>
      </ns0:c>
      <ns0:c r="H46" s="78" t="n">
        <ns0:v>-0.1120895070471407</ns0:v>
      </ns0:c>
      <ns0:c r="I46" s="78" t="n">
        <ns0:v>-0.1168446104202581</ns0:v>
      </ns0:c>
      <ns0:c r="J46" s="78" t="n">
        <ns0:v>0.03486933364360301</ns0:v>
      </ns0:c>
      <ns0:c r="K46" s="78" t="n">
        <ns0:v>-0.01435888884643588</ns0:v>
      </ns0:c>
      <ns0:c r="L46" s="78" t="n">
        <ns0:v>-0.08700486684999806</ns0:v>
      </ns0:c>
      <ns0:c r="M46" s="78" t="n">
        <ns0:v>-0.02202466166635723</ns0:v>
      </ns0:c>
    </ns0:row>
    <ns0:row r="47" ht="30" customHeight="1">
      <ns0:c r="A47" s="73" t="inlineStr">
        <ns0:is>
          <ns0:t>میوه</ns0:t>
        </ns0:is>
      </ns0:c>
      <ns0:c r="B47" s="78" t="n">
        <ns0:v>-0.1645625289054866</ns0:v>
      </ns0:c>
      <ns0:c r="C47" s="78" t="n">
        <ns0:v>-0.003992027658154422</ns0:v>
      </ns0:c>
      <ns0:c r="D47" s="78" t="n">
        <ns0:v>0.004607739331061988</ns0:v>
      </ns0:c>
      <ns0:c r="E47" s="78" t="n">
        <ns0:v>0.05311601227204483</ns0:v>
      </ns0:c>
      <ns0:c r="F47" s="78" t="n">
        <ns0:v>-0.0905664229261454</ns0:v>
      </ns0:c>
      <ns0:c r="G47" s="77" t="n">
        <ns0:v>-1.044533263746005</ns0:v>
      </ns0:c>
      <ns0:c r="H47" s="78" t="n">
        <ns0:v>0.1176456659114679</ns0:v>
      </ns0:c>
      <ns0:c r="I47" s="78" t="n">
        <ns0:v>-0.04503105626262688</ns0:v>
      </ns0:c>
      <ns0:c r="J47" s="78" t="n">
        <ns0:v>-0.2035466485319424</ns0:v>
      </ns0:c>
      <ns0:c r="K47" s="78" t="n">
        <ns0:v>0.05779798834627092</ns0:v>
      </ns0:c>
      <ns0:c r="L47" s="78" t="n">
        <ns0:v>-0.02814028761858886</ns0:v>
      </ns0:c>
      <ns0:c r="M47" s="78" t="n">
        <ns0:v>0.03009174245584543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-0.01286298418890122</ns0:v>
      </ns0:c>
      <ns0:c r="C48" s="78" t="n">
        <ns0:v>-0.1203492569402332</ns0:v>
      </ns0:c>
      <ns0:c r="D48" s="78" t="n">
        <ns0:v>-0.07088431715824169</ns0:v>
      </ns0:c>
      <ns0:c r="E48" s="78" t="n">
        <ns0:v>-0.1509451240867762</ns0:v>
      </ns0:c>
      <ns0:c r="F48" s="78" t="n">
        <ns0:v>0.0004940773661696202</ns0:v>
      </ns0:c>
      <ns0:c r="G48" s="78" t="n">
        <ns0:v>0.06105200377359434</ns0:v>
      </ns0:c>
      <ns0:c r="H48" s="77" t="n">
        <ns0:v>-0.3771863289648758</ns0:v>
      </ns0:c>
      <ns0:c r="I48" s="78" t="n">
        <ns0:v>0.00706650743497757</ns0:v>
      </ns0:c>
      <ns0:c r="J48" s="78" t="n">
        <ns0:v>0.01212354770590085</ns0:v>
      </ns0:c>
      <ns0:c r="K48" s="78" t="n">
        <ns0:v>-0.0739776977188723</ns0:v>
      </ns0:c>
      <ns0:c r="L48" s="78" t="n">
        <ns0:v>0.07100106297614771</ns0:v>
      </ns0:c>
      <ns0:c r="M48" s="78" t="n">
        <ns0:v>-0.01658409717155541</ns0:v>
      </ns0:c>
    </ns0:row>
    <ns0:row r="49" ht="30" customHeight="1">
      <ns0:c r="A49" s="73" t="inlineStr">
        <ns0:is>
          <ns0:t>حبوبات</ns0:t>
        </ns0:is>
      </ns0:c>
      <ns0:c r="B49" s="78" t="n">
        <ns0:v>-0.07820952784198049</ns0:v>
      </ns0:c>
      <ns0:c r="C49" s="78" t="n">
        <ns0:v>0.001614358419391778</ns0:v>
      </ns0:c>
      <ns0:c r="D49" s="78" t="n">
        <ns0:v>-0.0009841901727588537</ns0:v>
      </ns0:c>
      <ns0:c r="E49" s="78" t="n">
        <ns0:v>0.2219832775660776</ns0:v>
      </ns0:c>
      <ns0:c r="F49" s="78" t="n">
        <ns0:v>-0.1107239798174377</ns0:v>
      </ns0:c>
      <ns0:c r="G49" s="78" t="n">
        <ns0:v>-0.06594742868064762</ns0:v>
      </ns0:c>
      <ns0:c r="H49" s="78" t="n">
        <ns0:v>-0.1398933370197709</ns0:v>
      </ns0:c>
      <ns0:c r="I49" s="77" t="n">
        <ns0:v>-0.7032483342489053</ns0:v>
      </ns0:c>
      <ns0:c r="J49" s="78" t="n">
        <ns0:v>-0.1131475842632378</ns0:v>
      </ns0:c>
      <ns0:c r="K49" s="78" t="n">
        <ns0:v>-0.1722237532998913</ns0:v>
      </ns0:c>
      <ns0:c r="L49" s="78" t="n">
        <ns0:v>0.01956420604607766</ns0:v>
      </ns0:c>
      <ns0:c r="M49" s="78" t="n">
        <ns0:v>-0.004189077269821487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-0.1344789422370951</ns0:v>
      </ns0:c>
      <ns0:c r="C50" s="78" t="n">
        <ns0:v>-0.005184482406174024</ns0:v>
      </ns0:c>
      <ns0:c r="D50" s="78" t="n">
        <ns0:v>-0.255909722050746</ns0:v>
      </ns0:c>
      <ns0:c r="E50" s="78" t="n">
        <ns0:v>0.1587903918178966</ns0:v>
      </ns0:c>
      <ns0:c r="F50" s="78" t="n">
        <ns0:v>0.01768894913571209</ns0:v>
      </ns0:c>
      <ns0:c r="G50" s="78" t="n">
        <ns0:v>-0.1847863595175139</ns0:v>
      </ns0:c>
      <ns0:c r="H50" s="78" t="n">
        <ns0:v>-0.09593608440765271</ns0:v>
      </ns0:c>
      <ns0:c r="I50" s="78" t="n">
        <ns0:v>-0.1042132469868251</ns0:v>
      </ns0:c>
      <ns0:c r="J50" s="77" t="n">
        <ns0:v>-1.001498785034937</ns0:v>
      </ns0:c>
      <ns0:c r="K50" s="78" t="n">
        <ns0:v>-0.07177811869584547</ns0:v>
      </ns0:c>
      <ns0:c r="L50" s="78" t="n">
        <ns0:v>-0.1551362951123858</ns0:v>
      </ns0:c>
      <ns0:c r="M50" s="78" t="n">
        <ns0:v>0.04375747320405733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-0.1183666493961951</ns0:v>
      </ns0:c>
      <ns0:c r="C51" s="78" t="n">
        <ns0:v>-0.07180828838467408</ns0:v>
      </ns0:c>
      <ns0:c r="D51" s="78" t="n">
        <ns0:v>0.01925114650874608</ns0:v>
      </ns0:c>
      <ns0:c r="E51" s="78" t="n">
        <ns0:v>-0.1144748087013542</ns0:v>
      </ns0:c>
      <ns0:c r="F51" s="78" t="n">
        <ns0:v>-0.003098315452368004</ns0:v>
      </ns0:c>
      <ns0:c r="G51" s="78" t="n">
        <ns0:v>0.0575675814126972</ns0:v>
      </ns0:c>
      <ns0:c r="H51" s="78" t="n">
        <ns0:v>-0.111558437610392</ns0:v>
      </ns0:c>
      <ns0:c r="I51" s="78" t="n">
        <ns0:v>-0.03754892510533938</ns0:v>
      </ns0:c>
      <ns0:c r="J51" s="78" t="n">
        <ns0:v>-0.04026168012184094</ns0:v>
      </ns0:c>
      <ns0:c r="K51" s="77" t="n">
        <ns0:v>-0.4857385365894775</ns0:v>
      </ns0:c>
      <ns0:c r="L51" s="78" t="n">
        <ns0:v>-0.06741381270483911</ns0:v>
      </ns0:c>
      <ns0:c r="M51" s="78" t="n">
        <ns0:v>-0.004151274240748542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-0.2515675862187377</ns0:v>
      </ns0:c>
      <ns0:c r="C52" s="78" t="n">
        <ns0:v>0.1635876799580868</ns0:v>
      </ns0:c>
      <ns0:c r="D52" s="78" t="n">
        <ns0:v>-0.09705946130267543</ns0:v>
      </ns0:c>
      <ns0:c r="E52" s="78" t="n">
        <ns0:v>0.2553208258880358</ns0:v>
      </ns0:c>
      <ns0:c r="F52" s="78" t="n">
        <ns0:v>-0.1026185126571335</ns0:v>
      </ns0:c>
      <ns0:c r="G52" s="78" t="n">
        <ns0:v>-0.03005246494734803</ns0:v>
      </ns0:c>
      <ns0:c r="H52" s="78" t="n">
        <ns0:v>0.1409084350481302</ns0:v>
      </ns0:c>
      <ns0:c r="I52" s="78" t="n">
        <ns0:v>0.05788859535687505</ns0:v>
      </ns0:c>
      <ns0:c r="J52" s="78" t="n">
        <ns0:v>-0.1049451343302962</ns0:v>
      </ns0:c>
      <ns0:c r="K52" s="78" t="n">
        <ns0:v>-0.1861243008288539</ns0:v>
      </ns0:c>
      <ns0:c r="L52" s="77" t="n">
        <ns0:v>-0.8352549129317499</ns0:v>
      </ns0:c>
      <ns0:c r="M52" s="78" t="n">
        <ns0:v>0.05637238758723044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0.2574241321370508</ns0:v>
      </ns0:c>
      <ns0:c r="C53" s="78" t="n">
        <ns0:v>-0.10491451202597</ns0:v>
      </ns0:c>
      <ns0:c r="D53" s="78" t="n">
        <ns0:v>-0.1541772703358986</ns0:v>
      </ns0:c>
      <ns0:c r="E53" s="78" t="n">
        <ns0:v>-0.3357327619905456</ns0:v>
      </ns0:c>
      <ns0:c r="F53" s="78" t="n">
        <ns0:v>-0.04457237640454045</ns0:v>
      </ns0:c>
      <ns0:c r="G53" s="78" t="n">
        <ns0:v>0.07260412402364753</ns0:v>
      </ns0:c>
      <ns0:c r="H53" s="78" t="n">
        <ns0:v>-0.0890043024482591</ns0:v>
      </ns0:c>
      <ns0:c r="I53" s="78" t="n">
        <ns0:v>-0.03171405926528198</ns0:v>
      </ns0:c>
      <ns0:c r="J53" s="78" t="n">
        <ns0:v>0.2025855464078879</ns0:v>
      </ns0:c>
      <ns0:c r="K53" s="78" t="n">
        <ns0:v>-0.0360050711209785</ns0:v>
      </ns0:c>
      <ns0:c r="L53" s="78" t="n">
        <ns0:v>0.03294431619220862</ns0:v>
      </ns0:c>
      <ns0:c r="M53" s="77" t="n">
        <ns0:v>-0.3798547547015493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15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کوهرت 1393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-1.0774</ns0:v>
      </ns0:c>
      <ns0:c r="C6" s="69" t="n">
        <ns0:v>-1.0753</ns0:v>
      </ns0:c>
      <ns0:c r="D6" s="70" t="n">
        <ns0:v>1.5721</ns0:v>
      </ns0:c>
      <ns0:c r="E6" s="69" t="n">
        <ns0:v>1.619</ns0:v>
      </ns0:c>
    </ns0:row>
    <ns0:row r="7" ht="23" customHeight="1">
      <ns0:c r="A7" s="28" t="inlineStr">
        <ns0:is>
          <ns0:t>نان و غلات</ns0:t>
        </ns0:is>
      </ns0:c>
      <ns0:c r="B7" s="68" t="n">
        <ns0:v>-0.7373</ns0:v>
      </ns0:c>
      <ns0:c r="C7" s="69" t="n">
        <ns0:v>-0.7103</ns0:v>
      </ns0:c>
      <ns0:c r="D7" s="70" t="n">
        <ns0:v>0.6093</ns0:v>
      </ns0:c>
      <ns0:c r="E7" s="69" t="n">
        <ns0:v>0.5268</ns0:v>
      </ns0:c>
    </ns0:row>
    <ns0:row r="8" ht="23" customHeight="1">
      <ns0:c r="A8" s="28" t="inlineStr">
        <ns0:is>
          <ns0:t>گوشت</ns0:t>
        </ns0:is>
      </ns0:c>
      <ns0:c r="B8" s="68" t="n">
        <ns0:v>-0.9098000000000001</ns0:v>
      </ns0:c>
      <ns0:c r="C8" s="69" t="n">
        <ns0:v>-0.9208</ns0:v>
      </ns0:c>
      <ns0:c r="D8" s="70" t="n">
        <ns0:v>1.2369</ns0:v>
      </ns0:c>
      <ns0:c r="E8" s="69" t="n">
        <ns0:v>1.2588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-0.7902</ns0:v>
      </ns0:c>
      <ns0:c r="C9" s="69" t="n">
        <ns0:v>-0.7839</ns0:v>
      </ns0:c>
      <ns0:c r="D9" s="70" t="n">
        <ns0:v>0.8586</ns0:v>
      </ns0:c>
      <ns0:c r="E9" s="69" t="n">
        <ns0:v>0.8321</ns0:v>
      </ns0:c>
    </ns0:row>
    <ns0:row r="10" ht="23" customHeight="1">
      <ns0:c r="A10" s="28" t="inlineStr">
        <ns0:is>
          <ns0:t>روغن و چربی</ns0:t>
        </ns0:is>
      </ns0:c>
      <ns0:c r="B10" s="68" t="n">
        <ns0:v>-0.4325</ns0:v>
      </ns0:c>
      <ns0:c r="C10" s="69" t="n">
        <ns0:v>-0.4287</ns0:v>
      </ns0:c>
      <ns0:c r="D10" s="70" t="n">
        <ns0:v>0.6848</ns0:v>
      </ns0:c>
      <ns0:c r="E10" s="69" t="n">
        <ns0:v>1.016</ns0:v>
      </ns0:c>
    </ns0:row>
    <ns0:row r="11" ht="23" customHeight="1">
      <ns0:c r="A11" s="28" t="inlineStr">
        <ns0:is>
          <ns0:t>میوه</ns0:t>
        </ns0:is>
      </ns0:c>
      <ns0:c r="B11" s="68" t="n">
        <ns0:v>-1.0383</ns0:v>
      </ns0:c>
      <ns0:c r="C11" s="69" t="n">
        <ns0:v>-1.0329</ns0:v>
      </ns0:c>
      <ns0:c r="D11" s="70" t="n">
        <ns0:v>1.2472</ns0:v>
      </ns0:c>
      <ns0:c r="E11" s="69" t="n">
        <ns0:v>1.2797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-0.3783</ns0:v>
      </ns0:c>
      <ns0:c r="C12" s="69" t="n">
        <ns0:v>-0.3659</ns0:v>
      </ns0:c>
      <ns0:c r="D12" s="70" t="n">
        <ns0:v>0.7094</ns0:v>
      </ns0:c>
      <ns0:c r="E12" s="69" t="n">
        <ns0:v>0.6343</ns0:v>
      </ns0:c>
    </ns0:row>
    <ns0:row r="13" ht="23" customHeight="1">
      <ns0:c r="A13" s="28" t="inlineStr">
        <ns0:is>
          <ns0:t>حبوبات</ns0:t>
        </ns0:is>
      </ns0:c>
      <ns0:c r="B13" s="68" t="n">
        <ns0:v>-0.6895</ns0:v>
      </ns0:c>
      <ns0:c r="C13" s="69" t="n">
        <ns0:v>-0.7141</ns0:v>
      </ns0:c>
      <ns0:c r="D13" s="70" t="n">
        <ns0:v>0.9331</ns0:v>
      </ns0:c>
      <ns0:c r="E13" s="69" t="n">
        <ns0:v>1.1906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-0.9826</ns0:v>
      </ns0:c>
      <ns0:c r="C14" s="69" t="n">
        <ns0:v>-0.9892</ns0:v>
      </ns0:c>
      <ns0:c r="D14" s="70" t="n">
        <ns0:v>2.1059</ns0:v>
      </ns0:c>
      <ns0:c r="E14" s="69" t="n">
        <ns0:v>1.6145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-0.4987</ns0:v>
      </ns0:c>
      <ns0:c r="C15" s="69" t="n">
        <ns0:v>-0.4961</ns0:v>
      </ns0:c>
      <ns0:c r="D15" s="70" t="n">
        <ns0:v>0.9839</ns0:v>
      </ns0:c>
      <ns0:c r="E15" s="69" t="n">
        <ns0:v>0.9582000000000001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-0.8263</ns0:v>
      </ns0:c>
      <ns0:c r="C16" s="69" t="n">
        <ns0:v>-0.8355</ns0:v>
      </ns0:c>
      <ns0:c r="D16" s="70" t="n">
        <ns0:v>0.8329</ns0:v>
      </ns0:c>
      <ns0:c r="E16" s="69" t="n">
        <ns0:v>1.0152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-0.3932</ns0:v>
      </ns0:c>
      <ns0:c r="C17" s="69" t="n">
        <ns0:v>-0.3912</ns0:v>
      </ns0:c>
      <ns0:c r="D17" s="70" t="n">
        <ns0:v>0.7998</ns0:v>
      </ns0:c>
      <ns0:c r="E17" s="69" t="n">
        <ns0:v>0.6323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-1.077377049596968</ns0:v>
      </ns0:c>
      <ns0:c r="C26" s="75" t="n">
        <ns0:v>-0.008504238326022765</ns0:v>
      </ns0:c>
      <ns0:c r="D26" s="75" t="n">
        <ns0:v>-0.09389714886215411</ns0:v>
      </ns0:c>
      <ns0:c r="E26" s="75" t="n">
        <ns0:v>0.02024489642165025</ns0:v>
      </ns0:c>
      <ns0:c r="F26" s="75" t="n">
        <ns0:v>-0.03650405576891989</ns0:v>
      </ns0:c>
      <ns0:c r="G26" s="75" t="n">
        <ns0:v>-0.07650371532806891</ns0:v>
      </ns0:c>
      <ns0:c r="H26" s="75" t="n">
        <ns0:v>-0.08435492481949196</ns0:v>
      </ns0:c>
      <ns0:c r="I26" s="75" t="n">
        <ns0:v>-0.03593700233903351</ns0:v>
      </ns0:c>
      <ns0:c r="J26" s="75" t="n">
        <ns0:v>-0.01825710269583975</ns0:v>
      </ns0:c>
      <ns0:c r="K26" s="75" t="n">
        <ns0:v>-0.08449182416419063</ns0:v>
      </ns0:c>
      <ns0:c r="L26" s="75" t="n">
        <ns0:v>-0.1184520225201917</ns0:v>
      </ns0:c>
      <ns0:c r="M26" s="75" t="n">
        <ns0:v>0.04430267628770095</ns0:v>
      </ns0:c>
    </ns0:row>
    <ns0:row r="27" ht="30" customHeight="1">
      <ns0:c r="A27" s="73" t="inlineStr">
        <ns0:is>
          <ns0:t>نان و غلات</ns0:t>
        </ns0:is>
      </ns0:c>
      <ns0:c r="B27" s="75" t="n">
        <ns0:v>0.09573632731951218</ns0:v>
      </ns0:c>
      <ns0:c r="C27" s="74" t="n">
        <ns0:v>-0.737264277304025</ns0:v>
      </ns0:c>
      <ns0:c r="D27" s="75" t="n">
        <ns0:v>0.1522683896422074</ns0:v>
      </ns0:c>
      <ns0:c r="E27" s="75" t="n">
        <ns0:v>-0.1062698539055863</ns0:v>
      </ns0:c>
      <ns0:c r="F27" s="75" t="n">
        <ns0:v>-0.004283331106186878</ns0:v>
      </ns0:c>
      <ns0:c r="G27" s="75" t="n">
        <ns0:v>0.02209573469849819</ns0:v>
      </ns0:c>
      <ns0:c r="H27" s="75" t="n">
        <ns0:v>-0.08193118008670743</ns0:v>
      </ns0:c>
      <ns0:c r="I27" s="75" t="n">
        <ns0:v>0.02430913949503278</ns0:v>
      </ns0:c>
      <ns0:c r="J27" s="75" t="n">
        <ns0:v>0.02517296739139282</ns0:v>
      </ns0:c>
      <ns0:c r="K27" s="75" t="n">
        <ns0:v>-0.006759382666384849</ns0:v>
      </ns0:c>
      <ns0:c r="L27" s="75" t="n">
        <ns0:v>0.06281762526904876</ns0:v>
      </ns0:c>
      <ns0:c r="M27" s="75" t="n">
        <ns0:v>-0.03602580165631147</ns0:v>
      </ns0:c>
    </ns0:row>
    <ns0:row r="28" ht="30" customHeight="1">
      <ns0:c r="A28" s="73" t="inlineStr">
        <ns0:is>
          <ns0:t>گوشت</ns0:t>
        </ns0:is>
      </ns0:c>
      <ns0:c r="B28" s="75" t="n">
        <ns0:v>0.001725740699984616</ns0:v>
      </ns0:c>
      <ns0:c r="C28" s="75" t="n">
        <ns0:v>0.01855659039099415</ns0:v>
      </ns0:c>
      <ns0:c r="D28" s="74" t="n">
        <ns0:v>-0.9097927825866907</ns0:v>
      </ns0:c>
      <ns0:c r="E28" s="75" t="n">
        <ns0:v>-0.01254504277176759</ns0:v>
      </ns0:c>
      <ns0:c r="F28" s="75" t="n">
        <ns0:v>-0.0863749015541381</ns0:v>
      </ns0:c>
      <ns0:c r="G28" s="75" t="n">
        <ns0:v>-0.004779487626905685</ns0:v>
      </ns0:c>
      <ns0:c r="H28" s="75" t="n">
        <ns0:v>-0.08984682207455227</ns0:v>
      </ns0:c>
      <ns0:c r="I28" s="75" t="n">
        <ns0:v>-0.02116406450059136</ns0:v>
      </ns0:c>
      <ns0:c r="J28" s="75" t="n">
        <ns0:v>-0.04255897319421228</ns0:v>
      </ns0:c>
      <ns0:c r="K28" s="75" t="n">
        <ns0:v>0.004252118386505991</ns0:v>
      </ns0:c>
      <ns0:c r="L28" s="75" t="n">
        <ns0:v>-0.04851510864927131</ns0:v>
      </ns0:c>
      <ns0:c r="M28" s="75" t="n">
        <ns0:v>-0.04682510944253271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0.1129257137297841</ns0:v>
      </ns0:c>
      <ns0:c r="C29" s="75" t="n">
        <ns0:v>-0.1863408587937085</ns0:v>
      </ns0:c>
      <ns0:c r="D29" s="75" t="n">
        <ns0:v>0.05782211632438168</ns0:v>
      </ns0:c>
      <ns0:c r="E29" s="74" t="n">
        <ns0:v>-0.7901877254309883</ns0:v>
      </ns0:c>
      <ns0:c r="F29" s="75" t="n">
        <ns0:v>0.001182321772034119</ns0:v>
      </ns0:c>
      <ns0:c r="G29" s="75" t="n">
        <ns0:v>0.03606163298354775</ns0:v>
      </ns0:c>
      <ns0:c r="H29" s="75" t="n">
        <ns0:v>-0.1639292885741473</ns0:v>
      </ns0:c>
      <ns0:c r="I29" s="75" t="n">
        <ns0:v>0.04586022757720817</ns0:v>
      </ns0:c>
      <ns0:c r="J29" s="75" t="n">
        <ns0:v>0.09319864335958654</ns0:v>
      </ns0:c>
      <ns0:c r="K29" s="75" t="n">
        <ns0:v>-0.04977926869387791</ns0:v>
      </ns0:c>
      <ns0:c r="L29" s="75" t="n">
        <ns0:v>0.1151552999560996</ns0:v>
      </ns0:c>
      <ns0:c r="M29" s="75" t="n">
        <ns0:v>-0.1253151092182373</ns0:v>
      </ns0:c>
    </ns0:row>
    <ns0:row r="30" ht="30" customHeight="1">
      <ns0:c r="A30" s="73" t="inlineStr">
        <ns0:is>
          <ns0:t>روغن و چربی</ns0:t>
        </ns0:is>
      </ns0:c>
      <ns0:c r="B30" s="75" t="n">
        <ns0:v>0.02553100514083372</ns0:v>
      </ns0:c>
      <ns0:c r="C30" s="75" t="n">
        <ns0:v>-0.01088302737642215</ns0:v>
      </ns0:c>
      <ns0:c r="D30" s="75" t="n">
        <ns0:v>-0.1864271169741888</ns0:v>
      </ns0:c>
      <ns0:c r="E30" s="75" t="n">
        <ns0:v>0.1311357455938514</ns0:v>
      </ns0:c>
      <ns0:c r="F30" s="74" t="n">
        <ns0:v>-0.4324711593753916</ns0:v>
      </ns0:c>
      <ns0:c r="G30" s="75" t="n">
        <ns0:v>-0.03840816695978309</ns0:v>
      </ns0:c>
      <ns0:c r="H30" s="75" t="n">
        <ns0:v>-0.06799637397440128</ns0:v>
      </ns0:c>
      <ns0:c r="I30" s="75" t="n">
        <ns0:v>-0.1009568271843423</ns0:v>
      </ns0:c>
      <ns0:c r="J30" s="75" t="n">
        <ns0:v>0.06610472324488346</ns0:v>
      </ns0:c>
      <ns0:c r="K30" s="75" t="n">
        <ns0:v>-0.01078959777898196</ns0:v>
      </ns0:c>
      <ns0:c r="L30" s="75" t="n">
        <ns0:v>-0.07716270816609563</ns0:v>
      </ns0:c>
      <ns0:c r="M30" s="75" t="n">
        <ns0:v>-0.007433222558514493</ns0:v>
      </ns0:c>
    </ns0:row>
    <ns0:row r="31" ht="30" customHeight="1">
      <ns0:c r="A31" s="73" t="inlineStr">
        <ns0:is>
          <ns0:t>میوه</ns0:t>
        </ns0:is>
      </ns0:c>
      <ns0:c r="B31" s="75" t="n">
        <ns0:v>-0.1599602130867431</ns0:v>
      </ns0:c>
      <ns0:c r="C31" s="75" t="n">
        <ns0:v>0.009590049401251006</ns0:v>
      </ns0:c>
      <ns0:c r="D31" s="75" t="n">
        <ns0:v>0.002063313587360433</ns0:v>
      </ns0:c>
      <ns0:c r="E31" s="75" t="n">
        <ns0:v>0.05775903154135029</ns0:v>
      </ns0:c>
      <ns0:c r="F31" s="75" t="n">
        <ns0:v>-0.0812175848850251</ns0:v>
      </ns0:c>
      <ns0:c r="G31" s="74" t="n">
        <ns0:v>-1.038253800772522</ns0:v>
      </ns0:c>
      <ns0:c r="H31" s="75" t="n">
        <ns0:v>0.1229514059365976</ns0:v>
      </ns0:c>
      <ns0:c r="I31" s="75" t="n">
        <ns0:v>-0.04030204794851153</ns0:v>
      </ns0:c>
      <ns0:c r="J31" s="75" t="n">
        <ns0:v>-0.1970776275320003</ns0:v>
      </ns0:c>
      <ns0:c r="K31" s="75" t="n">
        <ns0:v>0.06126805131675775</ns0:v>
      </ns0:c>
      <ns0:c r="L31" s="75" t="n">
        <ns0:v>-0.02828554118812813</ns0:v>
      </ns0:c>
      <ns0:c r="M31" s="75" t="n">
        <ns0:v>0.03396979658079598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-0.01226117629246714</ns0:v>
      </ns0:c>
      <ns0:c r="C32" s="75" t="n">
        <ns0:v>-0.137123564872697</ns0:v>
      </ns0:c>
      <ns0:c r="D32" s="75" t="n">
        <ns0:v>-0.08494187180591992</ns0:v>
      </ns0:c>
      <ns0:c r="E32" s="75" t="n">
        <ns0:v>-0.1648395939780139</ns0:v>
      </ns0:c>
      <ns0:c r="F32" s="75" t="n">
        <ns0:v>-0.00174608489040315</ns0:v>
      </ns0:c>
      <ns0:c r="G32" s="75" t="n">
        <ns0:v>0.05935394867116728</ns0:v>
      </ns0:c>
      <ns0:c r="H32" s="74" t="n">
        <ns0:v>-0.3782802185079585</ns0:v>
      </ns0:c>
      <ns0:c r="I32" s="75" t="n">
        <ns0:v>0.00185659252212148</ns0:v>
      </ns0:c>
      <ns0:c r="J32" s="75" t="n">
        <ns0:v>0.01567303474660064</ns0:v>
      </ns0:c>
      <ns0:c r="K32" s="75" t="n">
        <ns0:v>-0.08371362221687381</ns0:v>
      </ns0:c>
      <ns0:c r="L32" s="75" t="n">
        <ns0:v>0.07048311609668377</ns0:v>
      </ns0:c>
      <ns0:c r="M32" s="75" t="n">
        <ns0:v>-0.02673436412384006</ns0:v>
      </ns0:c>
    </ns0:row>
    <ns0:row r="33" ht="30" customHeight="1">
      <ns0:c r="A33" s="73" t="inlineStr">
        <ns0:is>
          <ns0:t>حبوبات</ns0:t>
        </ns0:is>
      </ns0:c>
      <ns0:c r="B33" s="75" t="n">
        <ns0:v>-0.06158128439279496</ns0:v>
      </ns0:c>
      <ns0:c r="C33" s="75" t="n">
        <ns0:v>0.04318867412178972</ns0:v>
      </ns0:c>
      <ns0:c r="D33" s="75" t="n">
        <ns0:v>0.04894629051886899</ns0:v>
      </ns0:c>
      <ns0:c r="E33" s="75" t="n">
        <ns0:v>0.2550524649697721</ns0:v>
      </ns0:c>
      <ns0:c r="F33" s="75" t="n">
        <ns0:v>-0.09491548854211555</ns0:v>
      </ns0:c>
      <ns0:c r="G33" s="75" t="n">
        <ns0:v>-0.05122712456781796</ns0:v>
      </ns0:c>
      <ns0:c r="H33" s="75" t="n">
        <ns0:v>-0.1134039244174577</ns0:v>
      </ns0:c>
      <ns0:c r="I33" s="74" t="n">
        <ns0:v>-0.689522651118689</ns0:v>
      </ns0:c>
      <ns0:c r="J33" s="75" t="n">
        <ns0:v>-0.1221555950076519</ns0:v>
      </ns0:c>
      <ns0:c r="K33" s="75" t="n">
        <ns0:v>-0.158901043753443</ns0:v>
      </ns0:c>
      <ns0:c r="L33" s="75" t="n">
        <ns0:v>0.03567466549102163</ns0:v>
      </ns0:c>
      <ns0:c r="M33" s="75" t="n">
        <ns0:v>0.004828953148497636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-0.1607881416967873</ns0:v>
      </ns0:c>
      <ns0:c r="C34" s="75" t="n">
        <ns0:v>-0.09237974216160795</ns0:v>
      </ns0:c>
      <ns0:c r="D34" s="75" t="n">
        <ns0:v>-0.3563890792022893</ns0:v>
      </ns0:c>
      <ns0:c r="E34" s="75" t="n">
        <ns0:v>0.0814921792552958</ns0:v>
      </ns0:c>
      <ns0:c r="F34" s="75" t="n">
        <ns0:v>0.004230483601361543</ns0:v>
      </ns0:c>
      <ns0:c r="G34" s="75" t="n">
        <ns0:v>-0.2096767243402026</ns0:v>
      </ns0:c>
      <ns0:c r="H34" s="75" t="n">
        <ns0:v>-0.1337480038720379</ns0:v>
      </ns0:c>
      <ns0:c r="I34" s="75" t="n">
        <ns0:v>-0.1425413033839208</ns0:v>
      </ns0:c>
      <ns0:c r="J34" s="74" t="n">
        <ns0:v>-0.9825554503148113</ns0:v>
      </ns0:c>
      <ns0:c r="K34" s="75" t="n">
        <ns0:v>-0.09735608591860133</ns0:v>
      </ns0:c>
      <ns0:c r="L34" s="75" t="n">
        <ns0:v>-0.1819240345740457</ns0:v>
      </ns0:c>
      <ns0:c r="M34" s="75" t="n">
        <ns0:v>0.04638461815174719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-0.1309845306627483</ns0:v>
      </ns0:c>
      <ns0:c r="C35" s="75" t="n">
        <ns0:v>-0.0678511180648089</ns0:v>
      </ns0:c>
      <ns0:c r="D35" s="75" t="n">
        <ns0:v>0.01861117375316338</ns0:v>
      </ns0:c>
      <ns0:c r="E35" s="75" t="n">
        <ns0:v>-0.1147173692998248</ns0:v>
      </ns0:c>
      <ns0:c r="F35" s="75" t="n">
        <ns0:v>-0.0158081220741771</ns0:v>
      </ns0:c>
      <ns0:c r="G35" s="75" t="n">
        <ns0:v>0.0536705380650318</ns0:v>
      </ns0:c>
      <ns0:c r="H35" s="75" t="n">
        <ns0:v>-0.1136642336429538</ns0:v>
      </ns0:c>
      <ns0:c r="I35" s="75" t="n">
        <ns0:v>-0.04300029894285209</ns0:v>
      </ns0:c>
      <ns0:c r="J35" s="75" t="n">
        <ns0:v>-0.02682155921470828</ns0:v>
      </ns0:c>
      <ns0:c r="K35" s="74" t="n">
        <ns0:v>-0.4986664156855496</ns0:v>
      </ns0:c>
      <ns0:c r="L35" s="75" t="n">
        <ns0:v>-0.06518933466390715</ns0:v>
      </ns0:c>
      <ns0:c r="M35" s="75" t="n">
        <ns0:v>-0.002811748006998239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-0.2364580799902367</ns0:v>
      </ns0:c>
      <ns0:c r="C36" s="75" t="n">
        <ns0:v>0.1918302492253463</ns0:v>
      </ns0:c>
      <ns0:c r="D36" s="75" t="n">
        <ns0:v>-0.07077039323649283</ns0:v>
      </ns0:c>
      <ns0:c r="E36" s="75" t="n">
        <ns0:v>0.289594477668392</ns0:v>
      </ns0:c>
      <ns0:c r="F36" s="75" t="n">
        <ns0:v>-0.09776929373334137</ns0:v>
      </ns0:c>
      <ns0:c r="G36" s="75" t="n">
        <ns0:v>-0.02341835737877215</ns0:v>
      </ns0:c>
      <ns0:c r="H36" s="75" t="n">
        <ns0:v>0.1674597276340173</ns0:v>
      </ns0:c>
      <ns0:c r="I36" s="75" t="n">
        <ns0:v>0.07394804726375673</ns0:v>
      </ns0:c>
      <ns0:c r="J36" s="75" t="n">
        <ns0:v>-0.1158332028945987</ns0:v>
      </ns0:c>
      <ns0:c r="K36" s="75" t="n">
        <ns0:v>-0.1809066841633339</ns0:v>
      </ns0:c>
      <ns0:c r="L36" s="74" t="n">
        <ns0:v>-0.82632361973683</ns0:v>
      </ns0:c>
      <ns0:c r="M36" s="75" t="n">
        <ns0:v>0.06772480926186274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0.2414184125013032</ns0:v>
      </ns0:c>
      <ns0:c r="C37" s="75" t="n">
        <ns0:v>-0.140061736668976</ns0:v>
      </ns0:c>
      <ns0:c r="D37" s="75" t="n">
        <ns0:v>-0.1848097706794681</ns0:v>
      </ns0:c>
      <ns0:c r="E37" s="75" t="n">
        <ns0:v>-0.3637791783425144</ns0:v>
      </ns0:c>
      <ns0:c r="F37" s="75" t="n">
        <ns0:v>-0.04805458171160026</ns0:v>
      </ns0:c>
      <ns0:c r="G37" s="75" t="n">
        <ns0:v>0.06504204662942545</ns0:v>
      </ns0:c>
      <ns0:c r="H37" s="75" t="n">
        <ns0:v>-0.1140473712817785</ns0:v>
      </ns0:c>
      <ns0:c r="I37" s="75" t="n">
        <ns0:v>-0.03707205954161603</ns0:v>
      </ns0:c>
      <ns0:c r="J37" s="75" t="n">
        <ns0:v>0.2043465826078565</ns0:v>
      </ns0:c>
      <ns0:c r="K37" s="75" t="n">
        <ns0:v>-0.04613813067687327</ns0:v>
      </ns0:c>
      <ns0:c r="L37" s="75" t="n">
        <ns0:v>0.02409117363679612</ns0:v>
      </ns0:c>
      <ns0:c r="M37" s="74" t="n">
        <ns0:v>-0.3931670758658738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-1.075333221704495</ns0:v>
      </ns0:c>
      <ns0:c r="C42" s="78" t="n">
        <ns0:v>-0.02499772762405205</ns0:v>
      </ns0:c>
      <ns0:c r="D42" s="78" t="n">
        <ns0:v>-0.1063360834138243</ns0:v>
      </ns0:c>
      <ns0:c r="E42" s="78" t="n">
        <ns0:v>0.01342517954771912</ns0:v>
      </ns0:c>
      <ns0:c r="F42" s="78" t="n">
        <ns0:v>-0.03203490006813841</ns0:v>
      </ns0:c>
      <ns0:c r="G42" s="78" t="n">
        <ns0:v>-0.07796401671578249</ns0:v>
      </ns0:c>
      <ns0:c r="H42" s="78" t="n">
        <ns0:v>-0.0934188307087226</ns0:v>
      </ns0:c>
      <ns0:c r="I42" s="78" t="n">
        <ns0:v>-0.03650114094127904</ns0:v>
      </ns0:c>
      <ns0:c r="J42" s="78" t="n">
        <ns0:v>-0.01967793759765322</ns0:v>
      </ns0:c>
      <ns0:c r="K42" s="78" t="n">
        <ns0:v>-0.08393905117763446</ns0:v>
      </ns0:c>
      <ns0:c r="L42" s="78" t="n">
        <ns0:v>-0.1219557786175659</ns0:v>
      </ns0:c>
      <ns0:c r="M42" s="78" t="n">
        <ns0:v>0.04201193665206981</ns0:v>
      </ns0:c>
    </ns0:row>
    <ns0:row r="43" ht="30" customHeight="1">
      <ns0:c r="A43" s="73" t="inlineStr">
        <ns0:is>
          <ns0:t>نان و غلات</ns0:t>
        </ns0:is>
      </ns0:c>
      <ns0:c r="B43" s="78" t="n">
        <ns0:v>0.0927718523276384</ns0:v>
      </ns0:c>
      <ns0:c r="C43" s="77" t="n">
        <ns0:v>-0.710283511697737</ns0:v>
      </ns0:c>
      <ns0:c r="D43" s="78" t="n">
        <ns0:v>0.1676379231513331</ns0:v>
      </ns0:c>
      <ns0:c r="E43" s="78" t="n">
        <ns0:v>-0.0920838442819762</ns0:v>
      </ns0:c>
      <ns0:c r="F43" s="78" t="n">
        <ns0:v>-0.01546957329247073</ns0:v>
      </ns0:c>
      <ns0:c r="G43" s="78" t="n">
        <ns0:v>0.02348078488211951</ns0:v>
      </ns0:c>
      <ns0:c r="H43" s="78" t="n">
        <ns0:v>-0.07064169589452012</ns0:v>
      </ns0:c>
      <ns0:c r="I43" s="78" t="n">
        <ns0:v>0.02733423712582129</ns0:v>
      </ns0:c>
      <ns0:c r="J43" s="78" t="n">
        <ns0:v>0.03443744932008466</ns0:v>
      </ns0:c>
      <ns0:c r="K43" s="78" t="n">
        <ns0:v>-0.003699597908148474</ns0:v>
      </ns0:c>
      <ns0:c r="L43" s="78" t="n">
        <ns0:v>0.06783165661675755</ns0:v>
      </ns0:c>
      <ns0:c r="M43" s="78" t="n">
        <ns0:v>-0.02973168586531807</ns0:v>
      </ns0:c>
    </ns0:row>
    <ns0:row r="44" ht="30" customHeight="1">
      <ns0:c r="A44" s="73" t="inlineStr">
        <ns0:is>
          <ns0:t>گوشت</ns0:t>
        </ns0:is>
      </ns0:c>
      <ns0:c r="B44" s="78" t="n">
        <ns0:v>-0.001549643333034189</ns0:v>
      </ns0:c>
      <ns0:c r="C44" s="78" t="n">
        <ns0:v>0.0141511588303135</ns0:v>
      </ns0:c>
      <ns0:c r="D44" s="77" t="n">
        <ns0:v>-0.9207978500977639</ns0:v>
      </ns0:c>
      <ns0:c r="E44" s="78" t="n">
        <ns0:v>-0.01802590458722569</ns0:v>
      </ns0:c>
      <ns0:c r="F44" s="78" t="n">
        <ns0:v>-0.07630328484449218</ns0:v>
      </ns0:c>
      <ns0:c r="G44" s="78" t="n">
        <ns0:v>-0.003497341841851628</ns0:v>
      </ns0:c>
      <ns0:c r="H44" s="78" t="n">
        <ns0:v>-0.09174536786997224</ns0:v>
      </ns0:c>
      <ns0:c r="I44" s="78" t="n">
        <ns0:v>-0.02135177309570482</ns0:v>
      </ns0:c>
      <ns0:c r="J44" s="78" t="n">
        <ns0:v>-0.04411368581199407</ns0:v>
      </ns0:c>
      <ns0:c r="K44" s="78" t="n">
        <ns0:v>-0.001639505149100192</ns0:v>
      </ns0:c>
      <ns0:c r="L44" s="78" t="n">
        <ns0:v>-0.04673539925761511</ns0:v>
      </ns0:c>
      <ns0:c r="M44" s="78" t="n">
        <ns0:v>-0.0480759456898534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0.1144802917036665</ns0:v>
      </ns0:c>
      <ns0:c r="C45" s="78" t="n">
        <ns0:v>-0.1762397332570093</ns0:v>
      </ns0:c>
      <ns0:c r="D45" s="78" t="n">
        <ns0:v>0.05780194525278826</ns0:v>
      </ns0:c>
      <ns0:c r="E45" s="77" t="n">
        <ns0:v>-0.7838953230146795</ns0:v>
      </ns0:c>
      <ns0:c r="F45" s="78" t="n">
        <ns0:v>-0.01433398769383559</ns0:v>
      </ns0:c>
      <ns0:c r="G45" s="78" t="n">
        <ns0:v>0.03581924810346491</ns0:v>
      </ns0:c>
      <ns0:c r="H45" s="78" t="n">
        <ns0:v>-0.1577293999370214</ns0:v>
      </ns0:c>
      <ns0:c r="I45" s="78" t="n">
        <ns0:v>0.04599383221737504</ns0:v>
      </ns0:c>
      <ns0:c r="J45" s="78" t="n">
        <ns0:v>0.1111464521773671</ns0:v>
      </ns0:c>
      <ns0:c r="K45" s="78" t="n">
        <ns0:v>-0.05441276281774031</ns0:v>
      </ns0:c>
      <ns0:c r="L45" s="78" t="n">
        <ns0:v>0.1140824028150583</ns0:v>
      </ns0:c>
      <ns0:c r="M45" s="78" t="n">
        <ns0:v>-0.1196466899010443</ns0:v>
      </ns0:c>
    </ns0:row>
    <ns0:row r="46" ht="30" customHeight="1">
      <ns0:c r="A46" s="73" t="inlineStr">
        <ns0:is>
          <ns0:t>روغن و چربی</ns0:t>
        </ns0:is>
      </ns0:c>
      <ns0:c r="B46" s="78" t="n">
        <ns0:v>0.01769422025236132</ns0:v>
      </ns0:c>
      <ns0:c r="C46" s="78" t="n">
        <ns0:v>-0.09645210659733804</ns0:v>
      </ns0:c>
      <ns0:c r="D46" s="78" t="n">
        <ns0:v>-0.2200781840606095</ns0:v>
      </ns0:c>
      <ns0:c r="E46" s="78" t="n">
        <ns0:v>0.07038108610142545</ns0:v>
      </ns0:c>
      <ns0:c r="F46" s="77" t="n">
        <ns0:v>-0.4286874318206425</ns0:v>
      </ns0:c>
      <ns0:c r="G46" s="78" t="n">
        <ns0:v>-0.05406546888106654</ns0:v>
      </ns0:c>
      <ns0:c r="H46" s="78" t="n">
        <ns0:v>-0.1170709880844574</ns0:v>
      </ns0:c>
      <ns0:c r="I46" s="78" t="n">
        <ns0:v>-0.1216607016333215</ns0:v>
      </ns0:c>
      <ns0:c r="J46" s="78" t="n">
        <ns0:v>0.0363728678132894</ns0:v>
      </ns0:c>
      <ns0:c r="K46" s="78" t="n">
        <ns0:v>-0.01466568427451993</ns0:v>
      </ns0:c>
      <ns0:c r="L46" s="78" t="n">
        <ns0:v>-0.09227908592395019</ns0:v>
      </ns0:c>
      <ns0:c r="M46" s="78" t="n">
        <ns0:v>-0.02399314849523479</ns0:v>
      </ns0:c>
    </ns0:row>
    <ns0:row r="47" ht="30" customHeight="1">
      <ns0:c r="A47" s="73" t="inlineStr">
        <ns0:is>
          <ns0:t>میوه</ns0:t>
        </ns0:is>
      </ns0:c>
      <ns0:c r="B47" s="78" t="n">
        <ns0:v>-0.1621975330686582</ns0:v>
      </ns0:c>
      <ns0:c r="C47" s="78" t="n">
        <ns0:v>-0.002134463620153333</ns0:v>
      </ns0:c>
      <ns0:c r="D47" s="78" t="n">
        <ns0:v>0.005621392715531285</ns0:v>
      </ns0:c>
      <ns0:c r="E47" s="78" t="n">
        <ns0:v>0.05306884885108487</ns0:v>
      </ns0:c>
      <ns0:c r="F47" s="78" t="n">
        <ns0:v>-0.08654790551181764</ns0:v>
      </ns0:c>
      <ns0:c r="G47" s="77" t="n">
        <ns0:v>-1.032874740751939</ns0:v>
      </ns0:c>
      <ns0:c r="H47" s="78" t="n">
        <ns0:v>0.1137087210620649</ns0:v>
      </ns0:c>
      <ns0:c r="I47" s="78" t="n">
        <ns0:v>-0.04206059706754471</ns0:v>
      </ns0:c>
      <ns0:c r="J47" s="78" t="n">
        <ns0:v>-0.2007153038167052</ns0:v>
      </ns0:c>
      <ns0:c r="K47" s="78" t="n">
        <ns0:v>0.05905597454373399</ns0:v>
      </ns0:c>
      <ns0:c r="L47" s="78" t="n">
        <ns0:v>-0.02830635386247722</ns0:v>
      </ns0:c>
      <ns0:c r="M47" s="78" t="n">
        <ns0:v>0.03084140391639881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-0.01168707555408938</ns0:v>
      </ns0:c>
      <ns0:c r="C48" s="78" t="n">
        <ns0:v>-0.1233576896139605</ns0:v>
      </ns0:c>
      <ns0:c r="D48" s="78" t="n">
        <ns0:v>-0.06713359041807665</ns0:v>
      </ns0:c>
      <ns0:c r="E48" s="78" t="n">
        <ns0:v>-0.1520140894205142</ns0:v>
      </ns0:c>
      <ns0:c r="F48" s="78" t="n">
        <ns0:v>-0.002532277636119547</ns0:v>
      </ns0:c>
      <ns0:c r="G48" s="78" t="n">
        <ns0:v>0.06044838085978527</ns0:v>
      </ns0:c>
      <ns0:c r="H48" s="77" t="n">
        <ns0:v>-0.3659456203581188</ns0:v>
      </ns0:c>
      <ns0:c r="I48" s="78" t="n">
        <ns0:v>0.006037408574437093</ns0:v>
      </ns0:c>
      <ns0:c r="J48" s="78" t="n">
        <ns0:v>0.01387385478589742</ns0:v>
      </ns0:c>
      <ns0:c r="K48" s="78" t="n">
        <ns0:v>-0.07510187766168881</ns0:v>
      </ns0:c>
      <ns0:c r="L48" s="78" t="n">
        <ns0:v>0.07121167229657019</ns0:v>
      </ns0:c>
      <ns0:c r="M48" s="78" t="n">
        <ns0:v>-0.02249167233628028</ns0:v>
      </ns0:c>
    </ns0:row>
    <ns0:row r="49" ht="30" customHeight="1">
      <ns0:c r="A49" s="73" t="inlineStr">
        <ns0:is>
          <ns0:t>حبوبات</ns0:t>
        </ns0:is>
      </ns0:c>
      <ns0:c r="B49" s="78" t="n">
        <ns0:v>-0.07570171386176931</ns0:v>
      </ns0:c>
      <ns0:c r="C49" s="78" t="n">
        <ns0:v>0.002273999675565869</ns0:v>
      </ns0:c>
      <ns0:c r="D49" s="78" t="n">
        <ns0:v>-0.003121689729487185</ns0:v>
      </ns0:c>
      <ns0:c r="E49" s="78" t="n">
        <ns0:v>0.2133131112490139</ns0:v>
      </ns0:c>
      <ns0:c r="F49" s="78" t="n">
        <ns0:v>-0.1085479261554288</ns0:v>
      </ns0:c>
      <ns0:c r="G49" s="78" t="n">
        <ns0:v>-0.06422320989706837</ns0:v>
      </ns0:c>
      <ns0:c r="H49" s="78" t="n">
        <ns0:v>-0.1371424006898594</ns0:v>
      </ns0:c>
      <ns0:c r="I49" s="77" t="n">
        <ns0:v>-0.7141224286846299</ns0:v>
      </ns0:c>
      <ns0:c r="J49" s="78" t="n">
        <ns0:v>-0.1097182188420693</ns0:v>
      </ns0:c>
      <ns0:c r="K49" s="78" t="n">
        <ns0:v>-0.1670977656207491</ns0:v>
      </ns0:c>
      <ns0:c r="L49" s="78" t="n">
        <ns0:v>0.01799560551276293</ns0:v>
      </ns0:c>
      <ns0:c r="M49" s="78" t="n">
        <ns0:v>-0.004341717007540968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-0.1244359429000973</ns0:v>
      </ns0:c>
      <ns0:c r="C50" s="78" t="n">
        <ns0:v>-0.002034640441106204</ns0:v>
      </ns0:c>
      <ns0:c r="D50" s="78" t="n">
        <ns0:v>-0.2561807486306379</ns0:v>
      </ns0:c>
      <ns0:c r="E50" s="78" t="n">
        <ns0:v>0.1714055337947528</ns0:v>
      </ns0:c>
      <ns0:c r="F50" s="78" t="n">
        <ns0:v>0.01810520593724048</ns0:v>
      </ns0:c>
      <ns0:c r="G50" s="78" t="n">
        <ns0:v>-0.1893383828801848</ns0:v>
      </ns0:c>
      <ns0:c r="H50" s="78" t="n">
        <ns0:v>-0.08486728191270118</ns0:v>
      </ns0:c>
      <ns0:c r="I50" s="78" t="n">
        <ns0:v>-0.1091912433667554</ns0:v>
      </ns0:c>
      <ns0:c r="J50" s="77" t="n">
        <ns0:v>-0.9891961504658247</ns0:v>
      </ns0:c>
      <ns0:c r="K50" s="78" t="n">
        <ns0:v>-0.0743844328540768</ns0:v>
      </ns0:c>
      <ns0:c r="L50" s="78" t="n">
        <ns0:v>-0.1507744296598133</ns0:v>
      </ns0:c>
      <ns0:c r="M50" s="78" t="n">
        <ns0:v>0.05751319015360508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-0.1165061098534369</ns0:v>
      </ns0:c>
      <ns0:c r="C51" s="78" t="n">
        <ns0:v>-0.07206500202991903</ns0:v>
      </ns0:c>
      <ns0:c r="D51" s="78" t="n">
        <ns0:v>0.01649744117515984</ns0:v>
      </ns0:c>
      <ns0:c r="E51" s="78" t="n">
        <ns0:v>-0.1129165674040869</ns0:v>
      </ns0:c>
      <ns0:c r="F51" s="78" t="n">
        <ns0:v>-0.003175697196906852</ns0:v>
      </ns0:c>
      <ns0:c r="G51" s="78" t="n">
        <ns0:v>0.05580185642204302</ns0:v>
      </ns0:c>
      <ns0:c r="H51" s="78" t="n">
        <ns0:v>-0.1103656077693475</ns0:v>
      </ns0:c>
      <ns0:c r="I51" s="78" t="n">
        <ns0:v>-0.03768258002529586</ns0:v>
      </ns0:c>
      <ns0:c r="J51" s="78" t="n">
        <ns0:v>-0.03967101382890594</ns0:v>
      </ns0:c>
      <ns0:c r="K51" s="77" t="n">
        <ns0:v>-0.4960976626383712</ns0:v>
      </ns0:c>
      <ns0:c r="L51" s="78" t="n">
        <ns0:v>-0.06673692814058919</ns0:v>
      </ns0:c>
      <ns0:c r="M51" s="78" t="n">
        <ns0:v>-0.00474360666489957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-0.2571635027889775</ns0:v>
      </ns0:c>
      <ns0:c r="C52" s="78" t="n">
        <ns0:v>0.1676370043797913</ns0:v>
      </ns0:c>
      <ns0:c r="D52" s="78" t="n">
        <ns0:v>-0.09964775638116263</ns0:v>
      </ns0:c>
      <ns0:c r="E52" s="78" t="n">
        <ns0:v>0.2597049139392074</ns0:v>
      </ns0:c>
      <ns0:c r="F52" s="78" t="n">
        <ns0:v>-0.1061203212812109</ns0:v>
      </ns0:c>
      <ns0:c r="G52" s="78" t="n">
        <ns0:v>-0.03112829411206823</ns0:v>
      </ns0:c>
      <ns0:c r="H52" s="78" t="n">
        <ns0:v>0.142614528155732</ns0:v>
      </ns0:c>
      <ns0:c r="I52" s="78" t="n">
        <ns0:v>0.06007261259170685</ns0:v>
      </ns0:c>
      <ns0:c r="J52" s="78" t="n">
        <ns0:v>-0.1084431303755096</ns0:v>
      </ns0:c>
      <ns0:c r="K52" s="78" t="n">
        <ns0:v>-0.1916176245246214</ns0:v>
      </ns0:c>
      <ns0:c r="L52" s="77" t="n">
        <ns0:v>-0.8354770613113445</ns0:v>
      </ns0:c>
      <ns0:c r="M52" s="78" t="n">
        <ns0:v>0.05906145139339342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0.2530664870775186</ns0:v>
      </ns0:c>
      <ns0:c r="C53" s="78" t="n">
        <ns0:v>-0.1019650590446188</ns0:v>
      </ns0:c>
      <ns0:c r="D53" s="78" t="n">
        <ns0:v>-0.1527283937762701</ns0:v>
      </ns0:c>
      <ns0:c r="E53" s="78" t="n">
        <ns0:v>-0.3307604880338831</ns0:v>
      </ns0:c>
      <ns0:c r="F53" s="78" t="n">
        <ns0:v>-0.04623490593829611</ns0:v>
      </ns0:c>
      <ns0:c r="G53" s="78" t="n">
        <ns0:v>0.07098808525256946</ns0:v>
      </ns0:c>
      <ns0:c r="H53" s="78" t="n">
        <ns0:v>-0.09005204779107571</ns0:v>
      </ns0:c>
      <ns0:c r="I53" s="78" t="n">
        <ns0:v>-0.03101226783711119</ns0:v>
      </ns0:c>
      <ns0:c r="J53" s="78" t="n">
        <ns0:v>0.1982703324270163</ns0:v>
      </ns0:c>
      <ns0:c r="K53" s="78" t="n">
        <ns0:v>-0.03512189096984752</ns0:v>
      </ns0:c>
      <ns0:c r="L53" s="78" t="n">
        <ns0:v>0.03087664977472813</ns0:v>
      </ns0:c>
      <ns0:c r="M53" s="77" t="n">
        <ns0:v>-0.3911711764107495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16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کوهرت 1394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-1.0779</ns0:v>
      </ns0:c>
      <ns0:c r="C6" s="69" t="n">
        <ns0:v>-1.0759</ns0:v>
      </ns0:c>
      <ns0:c r="D6" s="70" t="n">
        <ns0:v>1.5696</ns0:v>
      </ns0:c>
      <ns0:c r="E6" s="69" t="n">
        <ns0:v>1.6157</ns0:v>
      </ns0:c>
    </ns0:row>
    <ns0:row r="7" ht="23" customHeight="1">
      <ns0:c r="A7" s="28" t="inlineStr">
        <ns0:is>
          <ns0:t>نان و غلات</ns0:t>
        </ns0:is>
      </ns0:c>
      <ns0:c r="B7" s="68" t="n">
        <ns0:v>-0.7355</ns0:v>
      </ns0:c>
      <ns0:c r="C7" s="69" t="n">
        <ns0:v>-0.7083</ns0:v>
      </ns0:c>
      <ns0:c r="D7" s="70" t="n">
        <ns0:v>0.6062</ns0:v>
      </ns0:c>
      <ns0:c r="E7" s="69" t="n">
        <ns0:v>0.5229</ns0:v>
      </ns0:c>
    </ns0:row>
    <ns0:row r="8" ht="23" customHeight="1">
      <ns0:c r="A8" s="28" t="inlineStr">
        <ns0:is>
          <ns0:t>گوشت</ns0:t>
        </ns0:is>
      </ns0:c>
      <ns0:c r="B8" s="68" t="n">
        <ns0:v>-0.9084</ns0:v>
      </ns0:c>
      <ns0:c r="C8" s="69" t="n">
        <ns0:v>-0.9194</ns0:v>
      </ns0:c>
      <ns0:c r="D8" s="70" t="n">
        <ns0:v>1.2381</ns0:v>
      </ns0:c>
      <ns0:c r="E8" s="69" t="n">
        <ns0:v>1.26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-0.791</ns0:v>
      </ns0:c>
      <ns0:c r="C9" s="69" t="n">
        <ns0:v>-0.7847</ns0:v>
      </ns0:c>
      <ns0:c r="D9" s="70" t="n">
        <ns0:v>0.8593</ns0:v>
      </ns0:c>
      <ns0:c r="E9" s="69" t="n">
        <ns0:v>0.8327</ns0:v>
      </ns0:c>
    </ns0:row>
    <ns0:row r="10" ht="23" customHeight="1">
      <ns0:c r="A10" s="28" t="inlineStr">
        <ns0:is>
          <ns0:t>روغن و چربی</ns0:t>
        </ns0:is>
      </ns0:c>
      <ns0:c r="B10" s="68" t="n">
        <ns0:v>-0.4009</ns0:v>
      </ns0:c>
      <ns0:c r="C10" s="69" t="n">
        <ns0:v>-0.3954</ns0:v>
      </ns0:c>
      <ns0:c r="D10" s="70" t="n">
        <ns0:v>0.6556999999999999</ns0:v>
      </ns0:c>
      <ns0:c r="E10" s="69" t="n">
        <ns0:v>1.0088</ns0:v>
      </ns0:c>
    </ns0:row>
    <ns0:row r="11" ht="23" customHeight="1">
      <ns0:c r="A11" s="28" t="inlineStr">
        <ns0:is>
          <ns0:t>میوه</ns0:t>
        </ns0:is>
      </ns0:c>
      <ns0:c r="B11" s="68" t="n">
        <ns0:v>-1.0271</ns0:v>
      </ns0:c>
      <ns0:c r="C11" s="69" t="n">
        <ns0:v>-1.0219</ns0:v>
      </ns0:c>
      <ns0:c r="D11" s="70" t="n">
        <ns0:v>1.2193</ns0:v>
      </ns0:c>
      <ns0:c r="E11" s="69" t="n">
        <ns0:v>1.2558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-0.3849</ns0:v>
      </ns0:c>
      <ns0:c r="C12" s="69" t="n">
        <ns0:v>-0.3727</ns0:v>
      </ns0:c>
      <ns0:c r="D12" s="70" t="n">
        <ns0:v>0.7195</ns0:v>
      </ns0:c>
      <ns0:c r="E12" s="69" t="n">
        <ns0:v>0.6486</ns0:v>
      </ns0:c>
    </ns0:row>
    <ns0:row r="13" ht="23" customHeight="1">
      <ns0:c r="A13" s="28" t="inlineStr">
        <ns0:is>
          <ns0:t>حبوبات</ns0:t>
        </ns0:is>
      </ns0:c>
      <ns0:c r="B13" s="68" t="n">
        <ns0:v>-0.6965</ns0:v>
      </ns0:c>
      <ns0:c r="C13" s="69" t="n">
        <ns0:v>-0.7206</ns0:v>
      </ns0:c>
      <ns0:c r="D13" s="70" t="n">
        <ns0:v>0.9308</ns0:v>
      </ns0:c>
      <ns0:c r="E13" s="69" t="n">
        <ns0:v>1.1805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-0.9778</ns0:v>
      </ns0:c>
      <ns0:c r="C14" s="69" t="n">
        <ns0:v>-0.9836</ns0:v>
      </ns0:c>
      <ns0:c r="D14" s="70" t="n">
        <ns0:v>2.065</ns0:v>
      </ns0:c>
      <ns0:c r="E14" s="69" t="n">
        <ns0:v>1.5745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-0.5116000000000001</ns0:v>
      </ns0:c>
      <ns0:c r="C15" s="69" t="n">
        <ns0:v>-0.5094</ns0:v>
      </ns0:c>
      <ns0:c r="D15" s="70" t="n">
        <ns0:v>0.9919</ns0:v>
      </ns0:c>
      <ns0:c r="E15" s="69" t="n">
        <ns0:v>0.9727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-0.8161</ns0:v>
      </ns0:c>
      <ns0:c r="C16" s="69" t="n">
        <ns0:v>-0.8252</ns0:v>
      </ns0:c>
      <ns0:c r="D16" s="70" t="n">
        <ns0:v>0.8139999999999999</ns0:v>
      </ns0:c>
      <ns0:c r="E16" s="69" t="n">
        <ns0:v>0.9984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-0.3794</ns0:v>
      </ns0:c>
      <ns0:c r="C17" s="69" t="n">
        <ns0:v>-0.3774</ns0:v>
      </ns0:c>
      <ns0:c r="D17" s="70" t="n">
        <ns0:v>0.7949000000000001</ns0:v>
      </ns0:c>
      <ns0:c r="E17" s="69" t="n">
        <ns0:v>0.6221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-1.077887732360471</ns0:v>
      </ns0:c>
      <ns0:c r="C26" s="75" t="n">
        <ns0:v>-0.008028552499419833</ns0:v>
      </ns0:c>
      <ns0:c r="D26" s="75" t="n">
        <ns0:v>-0.09202112668095425</ns0:v>
      </ns0:c>
      <ns0:c r="E26" s="75" t="n">
        <ns0:v>0.02003128029503801</ns0:v>
      </ns0:c>
      <ns0:c r="F26" s="75" t="n">
        <ns0:v>-0.03419844035950136</ns0:v>
      </ns0:c>
      <ns0:c r="G26" s="75" t="n">
        <ns0:v>-0.075901868022026</ns0:v>
      </ns0:c>
      <ns0:c r="H26" s="75" t="n">
        <ns0:v>-0.084987522737862</ns0:v>
      </ns0:c>
      <ns0:c r="I26" s="75" t="n">
        <ns0:v>-0.03706825654579436</ns0:v>
      </ns0:c>
      <ns0:c r="J26" s="75" t="n">
        <ns0:v>-0.01943002153349819</ns0:v>
      </ns0:c>
      <ns0:c r="K26" s="75" t="n">
        <ns0:v>-0.08567701744354345</ns0:v>
      </ns0:c>
      <ns0:c r="L26" s="75" t="n">
        <ns0:v>-0.1168649146003181</ns0:v>
      </ns0:c>
      <ns0:c r="M26" s="75" t="n">
        <ns0:v>0.04444722735688866</ns0:v>
      </ns0:c>
    </ns0:row>
    <ns0:row r="27" ht="30" customHeight="1">
      <ns0:c r="A27" s="73" t="inlineStr">
        <ns0:is>
          <ns0:t>نان و غلات</ns0:t>
        </ns0:is>
      </ns0:c>
      <ns0:c r="B27" s="75" t="n">
        <ns0:v>0.09637030010199095</ns0:v>
      </ns0:c>
      <ns0:c r="C27" s="74" t="n">
        <ns0:v>-0.7355148655228001</ns0:v>
      </ns0:c>
      <ns0:c r="D27" s="75" t="n">
        <ns0:v>0.1519387999236341</ns0:v>
      </ns0:c>
      <ns0:c r="E27" s="75" t="n">
        <ns0:v>-0.1061885296990943</ns0:v>
      </ns0:c>
      <ns0:c r="F27" s="75" t="n">
        <ns0:v>-0.005884098518635062</ns0:v>
      </ns0:c>
      <ns0:c r="G27" s="75" t="n">
        <ns0:v>0.02205485025415722</ns0:v>
      </ns0:c>
      <ns0:c r="H27" s="75" t="n">
        <ns0:v>-0.08087264443470238</ns0:v>
      </ns0:c>
      <ns0:c r="I27" s="75" t="n">
        <ns0:v>0.02450729421543343</ns0:v>
      </ns0:c>
      <ns0:c r="J27" s="75" t="n">
        <ns0:v>0.02615258903001108</ns0:v>
      </ns0:c>
      <ns0:c r="K27" s="75" t="n">
        <ns0:v>-0.004375418419033257</ns0:v>
      </ns0:c>
      <ns0:c r="L27" s="75" t="n">
        <ns0:v>0.06217986780227577</ns0:v>
      </ns0:c>
      <ns0:c r="M27" s="75" t="n">
        <ns0:v>-0.03632932144822829</ns0:v>
      </ns0:c>
    </ns0:row>
    <ns0:row r="28" ht="30" customHeight="1">
      <ns0:c r="A28" s="73" t="inlineStr">
        <ns0:is>
          <ns0:t>گوشت</ns0:t>
        </ns0:is>
      </ns0:c>
      <ns0:c r="B28" s="75" t="n">
        <ns0:v>0.001405865560614189</ns0:v>
      </ns0:c>
      <ns0:c r="C28" s="75" t="n">
        <ns0:v>0.01881518961728402</ns0:v>
      </ns0:c>
      <ns0:c r="D28" s="74" t="n">
        <ns0:v>-0.9084348521229744</ns0:v>
      </ns0:c>
      <ns0:c r="E28" s="75" t="n">
        <ns0:v>-0.01250140258062767</ns0:v>
      </ns0:c>
      <ns0:c r="F28" s="75" t="n">
        <ns0:v>-0.08606962084295107</ns0:v>
      </ns0:c>
      <ns0:c r="G28" s="75" t="n">
        <ns0:v>-0.00480627609528802</ns0:v>
      </ns0:c>
      <ns0:c r="H28" s="75" t="n">
        <ns0:v>-0.09064691122061611</ns0:v>
      </ns0:c>
      <ns0:c r="I28" s="75" t="n">
        <ns0:v>-0.02151914832218122</ns0:v>
      </ns0:c>
      <ns0:c r="J28" s="75" t="n">
        <ns0:v>-0.04324197771701236</ns0:v>
      </ns0:c>
      <ns0:c r="K28" s="75" t="n">
        <ns0:v>0.003496299211566424</ns0:v>
      </ns0:c>
      <ns0:c r="L28" s="75" t="n">
        <ns0:v>-0.04839728705399842</ns0:v>
      </ns0:c>
      <ns0:c r="M28" s="75" t="n">
        <ns0:v>-0.04709894657180972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0.1130738921282056</ns0:v>
      </ns0:c>
      <ns0:c r="C29" s="75" t="n">
        <ns0:v>-0.186500153794926</ns0:v>
      </ns0:c>
      <ns0:c r="D29" s="75" t="n">
        <ns0:v>0.05724130147554055</ns0:v>
      </ns0:c>
      <ns0:c r="E29" s="74" t="n">
        <ns0:v>-0.7910152815543537</ns0:v>
      </ns0:c>
      <ns0:c r="F29" s="75" t="n">
        <ns0:v>0.0007678914129587451</ns0:v>
      </ns0:c>
      <ns0:c r="G29" s="75" t="n">
        <ns0:v>0.03587261707924606</ns0:v>
      </ns0:c>
      <ns0:c r="H29" s="75" t="n">
        <ns0:v>-0.1639247935792948</ns0:v>
      </ns0:c>
      <ns0:c r="I29" s="75" t="n">
        <ns0:v>0.04611101896893643</ns0:v>
      </ns0:c>
      <ns0:c r="J29" s="75" t="n">
        <ns0:v>0.09397895739743169</ns0:v>
      </ns0:c>
      <ns0:c r="K29" s="75" t="n">
        <ns0:v>-0.0497009541251867</ns0:v>
      </ns0:c>
      <ns0:c r="L29" s="75" t="n">
        <ns0:v>0.1149658213861014</ns0:v>
      </ns0:c>
      <ns0:c r="M29" s="75" t="n">
        <ns0:v>-0.1256164740880245</ns0:v>
      </ns0:c>
    </ns0:row>
    <ns0:row r="30" ht="30" customHeight="1">
      <ns0:c r="A30" s="73" t="inlineStr">
        <ns0:is>
          <ns0:t>روغن و چربی</ns0:t>
        </ns0:is>
      </ns0:c>
      <ns0:c r="B30" s="75" t="n">
        <ns0:v>0.02910173079204577</ns0:v>
      </ns0:c>
      <ns0:c r="C30" s="75" t="n">
        <ns0:v>-0.01035971463398592</ns0:v>
      </ns0:c>
      <ns0:c r="D30" s="75" t="n">
        <ns0:v>-0.1947690621645661</ns0:v>
      </ns0:c>
      <ns0:c r="E30" s="75" t="n">
        <ns0:v>0.1340861797761237</ns0:v>
      </ns0:c>
      <ns0:c r="F30" s="74" t="n">
        <ns0:v>-0.4008760880151648</ns0:v>
      </ns0:c>
      <ns0:c r="G30" s="75" t="n">
        <ns0:v>-0.03922371389197137</ns0:v>
      </ns0:c>
      <ns0:c r="H30" s="75" t="n">
        <ns0:v>-0.06681277944268343</ns0:v>
      </ns0:c>
      <ns0:c r="I30" s="75" t="n">
        <ns0:v>-0.1026469745679313</ns0:v>
      </ns0:c>
      <ns0:c r="J30" s="75" t="n">
        <ns0:v>0.07041106497239849</ns0:v>
      </ns0:c>
      <ns0:c r="K30" s="75" t="n">
        <ns0:v>-0.008826005707969539</ns0:v>
      </ns0:c>
      <ns0:c r="L30" s="75" t="n">
        <ns0:v>-0.08193029308753889</ns0:v>
      </ns0:c>
      <ns0:c r="M30" s="75" t="n">
        <ns0:v>-0.008988174144364787</ns0:v>
      </ns0:c>
    </ns0:row>
    <ns0:row r="31" ht="30" customHeight="1">
      <ns0:c r="A31" s="73" t="inlineStr">
        <ns0:is>
          <ns0:t>میوه</ns0:t>
        </ns0:is>
      </ns0:c>
      <ns0:c r="B31" s="75" t="n">
        <ns0:v>-0.1585014865025035</ns0:v>
      </ns0:c>
      <ns0:c r="C31" s="75" t="n">
        <ns0:v>0.0120915393238615</ns0:v>
      </ns0:c>
      <ns0:c r="D31" s="75" t="n">
        <ns0:v>0.005151550373247333</ns0:v>
      </ns0:c>
      <ns0:c r="E31" s="75" t="n">
        <ns0:v>0.0592072184078692</ns0:v>
      </ns0:c>
      <ns0:c r="F31" s="75" t="n">
        <ns0:v>-0.07797232445294108</ns0:v>
      </ns0:c>
      <ns0:c r="G31" s="74" t="n">
        <ns0:v>-1.027130414853226</ns0:v>
      </ns0:c>
      <ns0:c r="H31" s="75" t="n">
        <ns0:v>0.1210521920338179</ns0:v>
      </ns0:c>
      <ns0:c r="I31" s="75" t="n">
        <ns0:v>-0.03715989376600189</ns0:v>
      </ns0:c>
      <ns0:c r="J31" s="75" t="n">
        <ns0:v>-0.1960660242133481</ns0:v>
      </ns0:c>
      <ns0:c r="K31" s="75" t="n">
        <ns0:v>0.06371305765064654</ns0:v>
      </ns0:c>
      <ns0:c r="L31" s="75" t="n">
        <ns0:v>-0.0282584586895404</ns0:v>
      </ns0:c>
      <ns0:c r="M31" s="75" t="n">
        <ns0:v>0.0352304356746036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-0.0108262195957146</ns0:v>
      </ns0:c>
      <ns0:c r="C32" s="75" t="n">
        <ns0:v>-0.1369363887678755</ns0:v>
      </ns0:c>
      <ns0:c r="D32" s="75" t="n">
        <ns0:v>-0.07997597442716946</ns0:v>
      </ns0:c>
      <ns0:c r="E32" s="75" t="n">
        <ns0:v>-0.160494818263509</ns0:v>
      </ns0:c>
      <ns0:c r="F32" s="75" t="n">
        <ns0:v>-0.003695944206934801</ns0:v>
      </ns0:c>
      <ns0:c r="G32" s="75" t="n">
        <ns0:v>0.05738586898614274</ns0:v>
      </ns0:c>
      <ns0:c r="H32" s="74" t="n">
        <ns0:v>-0.3848612148924137</ns0:v>
      </ns0:c>
      <ns0:c r="I32" s="75" t="n">
        <ns0:v>0.001335155374351482</ns0:v>
      </ns0:c>
      <ns0:c r="J32" s="75" t="n">
        <ns0:v>0.01729998510196429</ns0:v>
      </ns0:c>
      <ns0:c r="K32" s="75" t="n">
        <ns0:v>-0.08197364677860317</ns0:v>
      </ns0:c>
      <ns0:c r="L32" s="75" t="n">
        <ns0:v>0.06903819811659011</ns0:v>
      </ns0:c>
      <ns0:c r="M32" s="75" t="n">
        <ns0:v>-0.03050420362764765</ns0:v>
      </ns0:c>
    </ns0:row>
    <ns0:row r="33" ht="30" customHeight="1">
      <ns0:c r="A33" s="73" t="inlineStr">
        <ns0:is>
          <ns0:t>حبوبات</ns0:t>
        </ns0:is>
      </ns0:c>
      <ns0:c r="B33" s="75" t="n">
        <ns0:v>-0.05894996826910132</ns0:v>
      </ns0:c>
      <ns0:c r="C33" s="75" t="n">
        <ns0:v>0.04260075301239469</ns0:v>
      </ns0:c>
      <ns0:c r="D33" s="75" t="n">
        <ns0:v>0.04673649032299167</ns0:v>
      </ns0:c>
      <ns0:c r="E33" s="75" t="n">
        <ns0:v>0.2472559134846664</ns0:v>
      </ns0:c>
      <ns0:c r="F33" s="75" t="n">
        <ns0:v>-0.09340098986329028</ns0:v>
      </ns0:c>
      <ns0:c r="G33" s="75" t="n">
        <ns0:v>-0.04919245090973876</ns0:v>
      </ns0:c>
      <ns0:c r="H33" s="75" t="n">
        <ns0:v>-0.1086731331083512</ns0:v>
      </ns0:c>
      <ns0:c r="I33" s="74" t="n">
        <ns0:v>-0.6964614402629559</ns0:v>
      </ns0:c>
      <ns0:c r="J33" s="75" t="n">
        <ns0:v>-0.118958016300381</ns0:v>
      </ns0:c>
      <ns0:c r="K33" s="75" t="n">
        <ns0:v>-0.1524150999165594</ns0:v>
      </ns0:c>
      <ns0:c r="L33" s="75" t="n">
        <ns0:v>0.03445913521943373</ns0:v>
      </ns0:c>
      <ns0:c r="M33" s="75" t="n">
        <ns0:v>0.004090952369985967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-0.1526766368285319</ns0:v>
      </ns0:c>
      <ns0:c r="C34" s="75" t="n">
        <ns0:v>-0.08966398291826863</ns0:v>
      </ns0:c>
      <ns0:c r="D34" s="75" t="n">
        <ns0:v>-0.3470058909623054</ns0:v>
      </ns0:c>
      <ns0:c r="E34" s="75" t="n">
        <ns0:v>0.08351724165049601</ns0:v>
      </ns0:c>
      <ns0:c r="F34" s="75" t="n">
        <ns0:v>0.006256593859999967</ns0:v>
      </ns0:c>
      <ns0:c r="G34" s="75" t="n">
        <ns0:v>-0.206485852732552</ns0:v>
      </ns0:c>
      <ns0:c r="H34" s="75" t="n">
        <ns0:v>-0.1267232982647113</ns0:v>
      </ns0:c>
      <ns0:c r="I34" s="75" t="n">
        <ns0:v>-0.1423166146632152</ns0:v>
      </ns0:c>
      <ns0:c r="J34" s="74" t="n">
        <ns0:v>-0.9778381093928681</ns0:v>
      </ns0:c>
      <ns0:c r="K34" s="75" t="n">
        <ns0:v>-0.09844997113542553</ns0:v>
      </ns0:c>
      <ns0:c r="L34" s="75" t="n">
        <ns0:v>-0.1742462597999206</ns0:v>
      </ns0:c>
      <ns0:c r="M34" s="75" t="n">
        <ns0:v>0.0522028418873669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-0.1248304172447195</ns0:v>
      </ns0:c>
      <ns0:c r="C35" s="75" t="n">
        <ns0:v>-0.06896235907461004</ns0:v>
      </ns0:c>
      <ns0:c r="D35" s="75" t="n">
        <ns0:v>0.01918381769564564</ns0:v>
      </ns0:c>
      <ns0:c r="E35" s="75" t="n">
        <ns0:v>-0.1105875519306581</ns0:v>
      </ns0:c>
      <ns0:c r="F35" s="75" t="n">
        <ns0:v>-0.01612300511241193</ns0:v>
      </ns0:c>
      <ns0:c r="G35" s="75" t="n">
        <ns0:v>0.05164122175685274</ns0:v>
      </ns0:c>
      <ns0:c r="H35" s="75" t="n">
        <ns0:v>-0.1134159287298899</ns0:v>
      </ns0:c>
      <ns0:c r="I35" s="75" t="n">
        <ns0:v>-0.04157831562723126</ns0:v>
      </ns0:c>
      <ns0:c r="J35" s="75" t="n">
        <ns0:v>-0.02680077241509058</ns0:v>
      </ns0:c>
      <ns0:c r="K35" s="74" t="n">
        <ns0:v>-0.5116449574721145</ns0:v>
      </ns0:c>
      <ns0:c r="L35" s="75" t="n">
        <ns0:v>-0.06540064181697336</ns0:v>
      </ns0:c>
      <ns0:c r="M35" s="75" t="n">
        <ns0:v>-0.004527108389559715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-0.2416675900447355</ns0:v>
      </ns0:c>
      <ns0:c r="C36" s="75" t="n">
        <ns0:v>0.1978951304404614</ns0:v>
      </ns0:c>
      <ns0:c r="D36" s="75" t="n">
        <ns0:v>-0.07371266139228369</ns0:v>
      </ns0:c>
      <ns0:c r="E36" s="75" t="n">
        <ns0:v>0.2978168760921056</ns0:v>
      </ns0:c>
      <ns0:c r="F36" s="75" t="n">
        <ns0:v>-0.1016859974305893</ns0:v>
      </ns0:c>
      <ns0:c r="G36" s="75" t="n">
        <ns0:v>-0.02320837193174398</ns0:v>
      </ns0:c>
      <ns0:c r="H36" s="75" t="n">
        <ns0:v>0.1729259599560382</ns0:v>
      </ns0:c>
      <ns0:c r="I36" s="75" t="n">
        <ns0:v>0.07451109947768855</ns0:v>
      </ns0:c>
      <ns0:c r="J36" s="75" t="n">
        <ns0:v>-0.1165053598458269</ns0:v>
      </ns0:c>
      <ns0:c r="K36" s="75" t="n">
        <ns0:v>-0.1810793183875005</ns0:v>
      </ns0:c>
      <ns0:c r="L36" s="74" t="n">
        <ns0:v>-0.8160903445405312</ns0:v>
      </ns0:c>
      <ns0:c r="M36" s="75" t="n">
        <ns0:v>0.06637018720194754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0.2471973170551938</ns0:v>
      </ns0:c>
      <ns0:c r="C37" s="75" t="n">
        <ns0:v>-0.1428099374025417</ns0:v>
      </ns0:c>
      <ns0:c r="D37" s="75" t="n">
        <ns0:v>-0.1899045918600807</ns0:v>
      </ns0:c>
      <ns0:c r="E37" s="75" t="n">
        <ns0:v>-0.3727517835588731</ns0:v>
      </ns0:c>
      <ns0:c r="F37" s="75" t="n">
        <ns0:v>-0.04938270093315029</ns0:v>
      </ns0:c>
      <ns0:c r="G37" s="75" t="n">
        <ns0:v>0.0667039307818036</ns0:v>
      </ns0:c>
      <ns0:c r="H37" s="75" t="n">
        <ns0:v>-0.1156688103528468</ns0:v>
      </ns0:c>
      <ns0:c r="I37" s="75" t="n">
        <ns0:v>-0.03818094491250591</ns0:v>
      </ns0:c>
      <ns0:c r="J37" s="75" t="n">
        <ns0:v>0.209479303668017</ns0:v>
      </ns0:c>
      <ns0:c r="K37" s="75" t="n">
        <ns0:v>-0.04684560655039455</ns0:v>
      </ns0:c>
      <ns0:c r="L37" s="75" t="n">
        <ns0:v>0.02489360142430434</ns0:v>
      </ns0:c>
      <ns0:c r="M37" s="74" t="n">
        <ns0:v>-0.3794109032458103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-1.07585542050987</ns0:v>
      </ns0:c>
      <ns0:c r="C42" s="78" t="n">
        <ns0:v>-0.0243882938873866</ns0:v>
      </ns0:c>
      <ns0:c r="D42" s="78" t="n">
        <ns0:v>-0.104200378048916</ns0:v>
      </ns0:c>
      <ns0:c r="E42" s="78" t="n">
        <ns0:v>0.01338229244141674</ns0:v>
      </ns0:c>
      <ns0:c r="F42" s="78" t="n">
        <ns0:v>-0.02956144111779619</ns0:v>
      </ns0:c>
      <ns0:c r="G42" s="78" t="n">
        <ns0:v>-0.07733960650337786</ns0:v>
      </ns0:c>
      <ns0:c r="H42" s="78" t="n">
        <ns0:v>-0.09405699613876185</ns0:v>
      </ns0:c>
      <ns0:c r="I42" s="78" t="n">
        <ns0:v>-0.03758729221110585</ns0:v>
      </ns0:c>
      <ns0:c r="J42" s="78" t="n">
        <ns0:v>-0.02089708620286893</ns0:v>
      </ns0:c>
      <ns0:c r="K42" s="78" t="n">
        <ns0:v>-0.08522528532320664</ns0:v>
      </ns0:c>
      <ns0:c r="L42" s="78" t="n">
        <ns0:v>-0.1202721241932033</ns0:v>
      </ns0:c>
      <ns0:c r="M42" s="78" t="n">
        <ns0:v>0.04217400155807277</ns0:v>
      </ns0:c>
    </ns0:row>
    <ns0:row r="43" ht="30" customHeight="1">
      <ns0:c r="A43" s="73" t="inlineStr">
        <ns0:is>
          <ns0:t>نان و غلات</ns0:t>
        </ns0:is>
      </ns0:c>
      <ns0:c r="B43" s="78" t="n">
        <ns0:v>0.09360016403587838</ns0:v>
      </ns0:c>
      <ns0:c r="C43" s="77" t="n">
        <ns0:v>-0.708306751883953</ns0:v>
      </ns0:c>
      <ns0:c r="D43" s="78" t="n">
        <ns0:v>0.167294899644733</ns0:v>
      </ns0:c>
      <ns0:c r="E43" s="78" t="n">
        <ns0:v>-0.09200197793730228</ns0:v>
      </ns0:c>
      <ns0:c r="F43" s="78" t="n">
        <ns0:v>-0.01740037688723851</ns0:v>
      </ns0:c>
      <ns0:c r="G43" s="78" t="n">
        <ns0:v>0.02347136463462041</ns0:v>
      </ns0:c>
      <ns0:c r="H43" s="78" t="n">
        <ns0:v>-0.06943973487218075</ns0:v>
      </ns0:c>
      <ns0:c r="I43" s="78" t="n">
        <ns0:v>0.02766158400128806</ns0:v>
      </ns0:c>
      <ns0:c r="J43" s="78" t="n">
        <ns0:v>0.0355764149507552</ns0:v>
      </ns0:c>
      <ns0:c r="K43" s="78" t="n">
        <ns0:v>-0.00109969604926733</ns0:v>
      </ns0:c>
      <ns0:c r="L43" s="78" t="n">
        <ns0:v>0.06715711038282841</ns0:v>
      </ns0:c>
      <ns0:c r="M43" s="78" t="n">
        <ns0:v>-0.03005822801274189</ns0:v>
      </ns0:c>
    </ns0:row>
    <ns0:row r="44" ht="30" customHeight="1">
      <ns0:c r="A44" s="73" t="inlineStr">
        <ns0:is>
          <ns0:t>گوشت</ns0:t>
        </ns0:is>
      </ns0:c>
      <ns0:c r="B44" s="78" t="n">
        <ns0:v>-0.001927271148787741</ns0:v>
      </ns0:c>
      <ns0:c r="C44" s="78" t="n">
        <ns0:v>0.01440738676845887</ns0:v>
      </ns0:c>
      <ns0:c r="D44" s="77" t="n">
        <ns0:v>-0.9194367027596981</ns0:v>
      </ns0:c>
      <ns0:c r="E44" s="78" t="n">
        <ns0:v>-0.01799131340664731</ns0:v>
      </ns0:c>
      <ns0:c r="F44" s="78" t="n">
        <ns0:v>-0.07585339452670425</ns0:v>
      </ns0:c>
      <ns0:c r="G44" s="78" t="n">
        <ns0:v>-0.003510725895844949</ns0:v>
      </ns0:c>
      <ns0:c r="H44" s="78" t="n">
        <ns0:v>-0.09256950286535924</ns0:v>
      </ns0:c>
      <ns0:c r="I44" s="78" t="n">
        <ns0:v>-0.02172598723387178</ns0:v>
      </ns0:c>
      <ns0:c r="J44" s="78" t="n">
        <ns0:v>-0.04482416177722327</ns0:v>
      </ns0:c>
      <ns0:c r="K44" s="78" t="n">
        <ns0:v>-0.002477614435680467</ns0:v>
      </ns0:c>
      <ns0:c r="L44" s="78" t="n">
        <ns0:v>-0.0465727645170842</ns0:v>
      </ns0:c>
      <ns0:c r="M44" s="78" t="n">
        <ns0:v>-0.04834582315755969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0.1146987227504102</ns0:v>
      </ns0:c>
      <ns0:c r="C45" s="78" t="n">
        <ns0:v>-0.1764414682314661</ns0:v>
      </ns0:c>
      <ns0:c r="D45" s="78" t="n">
        <ns0:v>0.05716615013886069</ns0:v>
      </ns0:c>
      <ns0:c r="E45" s="77" t="n">
        <ns0:v>-0.7846734519720431</ns0:v>
      </ns0:c>
      <ns0:c r="F45" s="78" t="n">
        <ns0:v>-0.01486692579903752</ns0:v>
      </ns0:c>
      <ns0:c r="G45" s="78" t="n">
        <ns0:v>0.03564237046015074</ns0:v>
      </ns0:c>
      <ns0:c r="H45" s="78" t="n">
        <ns0:v>-0.1577061634312842</ns0:v>
      </ns0:c>
      <ns0:c r="I45" s="78" t="n">
        <ns0:v>0.04627903649229551</ns0:v>
      </ns0:c>
      <ns0:c r="J45" s="78" t="n">
        <ns0:v>0.1119954217190217</ns0:v>
      </ns0:c>
      <ns0:c r="K45" s="78" t="n">
        <ns0:v>-0.05426888207811607</ns0:v>
      </ns0:c>
      <ns0:c r="L45" s="78" t="n">
        <ns0:v>0.1138764173791404</ns0:v>
      </ns0:c>
      <ns0:c r="M45" s="78" t="n">
        <ns0:v>-0.1199711954919897</ns0:v>
      </ns0:c>
    </ns0:row>
    <ns0:row r="46" ht="30" customHeight="1">
      <ns0:c r="A46" s="73" t="inlineStr">
        <ns0:is>
          <ns0:t>روغن و چربی</ns0:t>
        </ns0:is>
      </ns0:c>
      <ns0:c r="B46" s="78" t="n">
        <ns0:v>0.02009841438542034</ns0:v>
      </ns0:c>
      <ns0:c r="C46" s="78" t="n">
        <ns0:v>-0.1011318826213709</ns0:v>
      </ns0:c>
      <ns0:c r="D46" s="78" t="n">
        <ns0:v>-0.2300244642543595</ns0:v>
      </ns0:c>
      <ns0:c r="E46" s="78" t="n">
        <ns0:v>0.06946534419151114</ns0:v>
      </ns0:c>
      <ns0:c r="F46" s="77" t="n">
        <ns0:v>-0.3954230016850928</ns0:v>
      </ns0:c>
      <ns0:c r="G46" s="78" t="n">
        <ns0:v>-0.05595475586070168</ns0:v>
      </ns0:c>
      <ns0:c r="H46" s="78" t="n">
        <ns0:v>-0.1195442633201293</ns0:v>
      </ns0:c>
      <ns0:c r="I46" s="78" t="n">
        <ns0:v>-0.1250601112043622</ns0:v>
      </ns0:c>
      <ns0:c r="J46" s="78" t="n">
        <ns0:v>0.0382440442447274</ns0:v>
      </ns0:c>
      <ns0:c r="K46" s="78" t="n">
        <ns0:v>-0.0142756632316091</ns0:v>
      </ns0:c>
      <ns0:c r="L46" s="78" t="n">
        <ns0:v>-0.09744328267336873</ns0:v>
      </ns0:c>
      <ns0:c r="M46" s="78" t="n">
        <ns0:v>-0.02641793415234706</ns0:v>
      </ns0:c>
    </ns0:row>
    <ns0:row r="47" ht="30" customHeight="1">
      <ns0:c r="A47" s="73" t="inlineStr">
        <ns0:is>
          <ns0:t>میوه</ns0:t>
        </ns0:is>
      </ns0:c>
      <ns0:c r="B47" s="78" t="n">
        <ns0:v>-0.1611877721884989</ns0:v>
      </ns0:c>
      <ns0:c r="C47" s="78" t="n">
        <ns0:v>-0.0001822382470387345</ns0:v>
      </ns0:c>
      <ns0:c r="D47" s="78" t="n">
        <ns0:v>0.008037158725542379</ns0:v>
      </ns0:c>
      <ns0:c r="E47" s="78" t="n">
        <ns0:v>0.05389058282512867</ns0:v>
      </ns0:c>
      <ns0:c r="F47" s="78" t="n">
        <ns0:v>-0.08314978475103163</ns0:v>
      </ns0:c>
      <ns0:c r="G47" s="77" t="n">
        <ns0:v>-1.021906860594911</ns0:v>
      </ns0:c>
      <ns0:c r="H47" s="78" t="n">
        <ns0:v>0.1113697015742736</ns0:v>
      </ns0:c>
      <ns0:c r="I47" s="78" t="n">
        <ns0:v>-0.03927327039084218</ns0:v>
      </ns0:c>
      <ns0:c r="J47" s="78" t="n">
        <ns0:v>-0.1997346091647494</ns0:v>
      </ns0:c>
      <ns0:c r="K47" s="78" t="n">
        <ns0:v>0.06119457917603988</ns0:v>
      </ns0:c>
      <ns0:c r="L47" s="78" t="n">
        <ns0:v>-0.02845287359973002</ns0:v>
      </ns0:c>
      <ns0:c r="M47" s="78" t="n">
        <ns0:v>0.03205243308165247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-0.01043529243056873</ns0:v>
      </ns0:c>
      <ns0:c r="C48" s="78" t="n">
        <ns0:v>-0.1238161087915403</ns0:v>
      </ns0:c>
      <ns0:c r="D48" s="78" t="n">
        <ns0:v>-0.06326708516701336</ns0:v>
      </ns0:c>
      <ns0:c r="E48" s="78" t="n">
        <ns0:v>-0.1484656562090264</ns0:v>
      </ns0:c>
      <ns0:c r="F48" s="78" t="n">
        <ns0:v>-0.004760070909210184</ns0:v>
      </ns0:c>
      <ns0:c r="G48" s="78" t="n">
        <ns0:v>0.05834832831315299</ns0:v>
      </ns0:c>
      <ns0:c r="H48" s="77" t="n">
        <ns0:v>-0.3727335955852313</ns0:v>
      </ns0:c>
      <ns0:c r="I48" s="78" t="n">
        <ns0:v>0.005219623640790267</ns0:v>
      </ns0:c>
      <ns0:c r="J48" s="78" t="n">
        <ns0:v>0.01570917285507918</ns0:v>
      </ns0:c>
      <ns0:c r="K48" s="78" t="n">
        <ns0:v>-0.07330963864981416</ns0:v>
      </ns0:c>
      <ns0:c r="L48" s="78" t="n">
        <ns0:v>0.06946478339346769</ns0:v>
      </ns0:c>
      <ns0:c r="M48" s="78" t="n">
        <ns0:v>-0.02638708595712156</ns0:v>
      </ns0:c>
    </ns0:row>
    <ns0:row r="49" ht="30" customHeight="1">
      <ns0:c r="A49" s="73" t="inlineStr">
        <ns0:is>
          <ns0:t>حبوبات</ns0:t>
        </ns0:is>
      </ns0:c>
      <ns0:c r="B49" s="78" t="n">
        <ns0:v>-0.07264243484950371</ns0:v>
      </ns0:c>
      <ns0:c r="C49" s="78" t="n">
        <ns0:v>0.002909763444640074</ns0:v>
      </ns0:c>
      <ns0:c r="D49" s="78" t="n">
        <ns0:v>-0.003415358565774011</ns0:v>
      </ns0:c>
      <ns0:c r="E49" s="78" t="n">
        <ns0:v>0.2068296892513868</ns0:v>
      </ns0:c>
      <ns0:c r="F49" s="78" t="n">
        <ns0:v>-0.1062319601769015</ns0:v>
      </ns0:c>
      <ns0:c r="G49" s="78" t="n">
        <ns0:v>-0.06178813717750123</ns0:v>
      </ns0:c>
      <ns0:c r="H49" s="78" t="n">
        <ns0:v>-0.1318693122309731</ns0:v>
      </ns0:c>
      <ns0:c r="I49" s="77" t="n">
        <ns0:v>-0.720571597638985</ns0:v>
      </ns0:c>
      <ns0:c r="J49" s="78" t="n">
        <ns0:v>-0.1070400189164617</ns0:v>
      </ns0:c>
      <ns0:c r="K49" s="78" t="n">
        <ns0:v>-0.1607330593495615</ns0:v>
      </ns0:c>
      <ns0:c r="L49" s="78" t="n">
        <ns0:v>0.01750862358558357</ns0:v>
      </ns0:c>
      <ns0:c r="M49" s="78" t="n">
        <ns0:v>-0.004773959799696979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-0.1157272447686638</ns0:v>
      </ns0:c>
      <ns0:c r="C50" s="78" t="n">
        <ns0:v>0.0002232460950256123</ns0:v>
      </ns0:c>
      <ns0:c r="D50" s="78" t="n">
        <ns0:v>-0.248057228290108</ns0:v>
      </ns0:c>
      <ns0:c r="E50" s="78" t="n">
        <ns0:v>0.1730202342260192</ns0:v>
      </ns0:c>
      <ns0:c r="F50" s="78" t="n">
        <ns0:v>0.01819447828906682</ns0:v>
      </ns0:c>
      <ns0:c r="G50" s="78" t="n">
        <ns0:v>-0.1861059397097769</ns0:v>
      </ns0:c>
      <ns0:c r="H50" s="78" t="n">
        <ns0:v>-0.07718441819063115</ns0:v>
      </ns0:c>
      <ns0:c r="I50" s="78" t="n">
        <ns0:v>-0.108568483983197</ns0:v>
      </ns0:c>
      <ns0:c r="J50" s="77" t="n">
        <ns0:v>-0.983558030129711</ns0:v>
      </ns0:c>
      <ns0:c r="K50" s="78" t="n">
        <ns0:v>-0.07384245626247701</ns0:v>
      </ns0:c>
      <ns0:c r="L50" s="78" t="n">
        <ns0:v>-0.1439886828254556</ns0:v>
      </ns0:c>
      <ns0:c r="M50" s="78" t="n">
        <ns0:v>0.06308104882612993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-0.1117050746416154</ns0:v>
      </ns0:c>
      <ns0:c r="C51" s="78" t="n">
        <ns0:v>-0.07366883026387119</ns0:v>
      </ns0:c>
      <ns0:c r="D51" s="78" t="n">
        <ns0:v>0.01574148285800234</ns0:v>
      </ns0:c>
      <ns0:c r="E51" s="78" t="n">
        <ns0:v>-0.1100504639401724</ns0:v>
      </ns0:c>
      <ns0:c r="F51" s="78" t="n">
        <ns0:v>-0.003626457399834439</ns0:v>
      </ns0:c>
      <ns0:c r="G51" s="78" t="n">
        <ns0:v>0.05345138951730438</ns0:v>
      </ns0:c>
      <ns0:c r="H51" s="78" t="n">
        <ns0:v>-0.110627145064743</ns0:v>
      </ns0:c>
      <ns0:c r="I51" s="78" t="n">
        <ns0:v>-0.03700070372270861</ns0:v>
      </ns0:c>
      <ns0:c r="J51" s="78" t="n">
        <ns0:v>-0.03910050389870064</ns0:v>
      </ns0:c>
      <ns0:c r="K51" s="77" t="n">
        <ns0:v>-0.5094222087146156</ns0:v>
      </ns0:c>
      <ns0:c r="L51" s="78" t="n">
        <ns0:v>-0.06710959222371775</ns0:v>
      </ns0:c>
      <ns0:c r="M51" s="78" t="n">
        <ns0:v>-0.006349422962057291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-0.2626930269087988</ns0:v>
      </ns0:c>
      <ns0:c r="C52" s="78" t="n">
        <ns0:v>0.1734349677084519</ns0:v>
      </ns0:c>
      <ns0:c r="D52" s="78" t="n">
        <ns0:v>-0.1022787215582554</ns0:v>
      </ns0:c>
      <ns0:c r="E52" s="78" t="n">
        <ns0:v>0.2675916599624574</ns0:v>
      </ns0:c>
      <ns0:c r="F52" s="78" t="n">
        <ns0:v>-0.1097222502064828</ns0:v>
      </ns0:c>
      <ns0:c r="G52" s="78" t="n">
        <ns0:v>-0.03096699163292802</ns0:v>
      </ns0:c>
      <ns0:c r="H52" s="78" t="n">
        <ns0:v>0.1472978530255836</ns0:v>
      </ns0:c>
      <ns0:c r="I52" s="78" t="n">
        <ns0:v>0.0603977334358877</ns0:v>
      </ns0:c>
      <ns0:c r="J52" s="78" t="n">
        <ns0:v>-0.1092546207779953</ns0:v>
      </ns0:c>
      <ns0:c r="K52" s="78" t="n">
        <ns0:v>-0.1924800868641019</ns0:v>
      </ns0:c>
      <ns0:c r="L52" s="77" t="n">
        <ns0:v>-0.8251647955906556</ns0:v>
      </ns0:c>
      <ns0:c r="M52" s="78" t="n">
        <ns0:v>0.05756535776780435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0.2594618493495499</ns0:v>
      </ns0:c>
      <ns0:c r="C53" s="78" t="n">
        <ns0:v>-0.1037683130246807</ns0:v>
      </ns0:c>
      <ns0:c r="D53" s="78" t="n">
        <ns0:v>-0.1570514478748216</ns0:v>
      </ns0:c>
      <ns0:c r="E53" s="78" t="n">
        <ns0:v>-0.3387356253715412</ns0:v>
      </ns0:c>
      <ns0:c r="F53" s="78" t="n">
        <ns0:v>-0.04803700458619305</ns0:v>
      </ns0:c>
      <ns0:c r="G53" s="78" t="n">
        <ns0:v>0.07286997987247254</ns0:v>
      </ns0:c>
      <ns0:c r="H53" s="78" t="n">
        <ns0:v>-0.09082694298038209</ns0:v>
      </ns0:c>
      <ns0:c r="I53" s="78" t="n">
        <ns0:v>-0.03169528465454139</ns0:v>
      </ns0:c>
      <ns0:c r="J53" s="78" t="n">
        <ns0:v>0.203428418144213</ns0:v>
      </ns0:c>
      <ns0:c r="K53" s="78" t="n">
        <ns0:v>-0.03508151878960134</ns0:v>
      </ns0:c>
      <ns0:c r="L53" s="78" t="n">
        <ns0:v>0.03168932698964782</ns0:v>
      </ns0:c>
      <ns0:c r="M53" s="77" t="n">
        <ns0:v>-0.3774256316687693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17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کوهرت 1397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-1.0807</ns0:v>
      </ns0:c>
      <ns0:c r="C6" s="69" t="n">
        <ns0:v>-1.0797</ns0:v>
      </ns0:c>
      <ns0:c r="D6" s="70" t="n">
        <ns0:v>1.5623</ns0:v>
      </ns0:c>
      <ns0:c r="E6" s="69" t="n">
        <ns0:v>1.6144</ns0:v>
      </ns0:c>
    </ns0:row>
    <ns0:row r="7" ht="23" customHeight="1">
      <ns0:c r="A7" s="28" t="inlineStr">
        <ns0:is>
          <ns0:t>نان و غلات</ns0:t>
        </ns0:is>
      </ns0:c>
      <ns0:c r="B7" s="68" t="n">
        <ns0:v>-0.6767</ns0:v>
      </ns0:c>
      <ns0:c r="C7" s="69" t="n">
        <ns0:v>-0.6469</ns0:v>
      </ns0:c>
      <ns0:c r="D7" s="70" t="n">
        <ns0:v>0.4322</ns0:v>
      </ns0:c>
      <ns0:c r="E7" s="69" t="n">
        <ns0:v>0.3301</ns0:v>
      </ns0:c>
    </ns0:row>
    <ns0:row r="8" ht="23" customHeight="1">
      <ns0:c r="A8" s="28" t="inlineStr">
        <ns0:is>
          <ns0:t>گوشت</ns0:t>
        </ns0:is>
      </ns0:c>
      <ns0:c r="B8" s="68" t="n">
        <ns0:v>-0.9225</ns0:v>
      </ns0:c>
      <ns0:c r="C8" s="69" t="n">
        <ns0:v>-0.9331</ns0:v>
      </ns0:c>
      <ns0:c r="D8" s="70" t="n">
        <ns0:v>1.2434</ns0:v>
      </ns0:c>
      <ns0:c r="E8" s="69" t="n">
        <ns0:v>1.2655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-0.791</ns0:v>
      </ns0:c>
      <ns0:c r="C9" s="69" t="n">
        <ns0:v>-0.7854</ns0:v>
      </ns0:c>
      <ns0:c r="D9" s="70" t="n">
        <ns0:v>0.8482</ns0:v>
      </ns0:c>
      <ns0:c r="E9" s="69" t="n">
        <ns0:v>0.8234</ns0:v>
      </ns0:c>
    </ns0:row>
    <ns0:row r="10" ht="23" customHeight="1">
      <ns0:c r="A10" s="28" t="inlineStr">
        <ns0:is>
          <ns0:t>روغن و چربی</ns0:t>
        </ns0:is>
      </ns0:c>
      <ns0:c r="B10" s="68" t="n">
        <ns0:v>-0.4312</ns0:v>
      </ns0:c>
      <ns0:c r="C10" s="69" t="n">
        <ns0:v>-0.4252</ns0:v>
      </ns0:c>
      <ns0:c r="D10" s="70" t="n">
        <ns0:v>0.675</ns0:v>
      </ns0:c>
      <ns0:c r="E10" s="69" t="n">
        <ns0:v>1.0112</ns0:v>
      </ns0:c>
    </ns0:row>
    <ns0:row r="11" ht="23" customHeight="1">
      <ns0:c r="A11" s="28" t="inlineStr">
        <ns0:is>
          <ns0:t>میوه</ns0:t>
        </ns0:is>
      </ns0:c>
      <ns0:c r="B11" s="68" t="n">
        <ns0:v>-1.0796</ns0:v>
      </ns0:c>
      <ns0:c r="C11" s="69" t="n">
        <ns0:v>-1.074</ns0:v>
      </ns0:c>
      <ns0:c r="D11" s="70" t="n">
        <ns0:v>1.3669</ns0:v>
      </ns0:c>
      <ns0:c r="E11" s="69" t="n">
        <ns0:v>1.3835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-0.4716</ns0:v>
      </ns0:c>
      <ns0:c r="C12" s="69" t="n">
        <ns0:v>-0.4615</ns0:v>
      </ns0:c>
      <ns0:c r="D12" s="70" t="n">
        <ns0:v>0.7655</ns0:v>
      </ns0:c>
      <ns0:c r="E12" s="69" t="n">
        <ns0:v>0.7056</ns0:v>
      </ns0:c>
    </ns0:row>
    <ns0:row r="13" ht="23" customHeight="1">
      <ns0:c r="A13" s="28" t="inlineStr">
        <ns0:is>
          <ns0:t>حبوبات</ns0:t>
        </ns0:is>
      </ns0:c>
      <ns0:c r="B13" s="68" t="n">
        <ns0:v>-0.6915</ns0:v>
      </ns0:c>
      <ns0:c r="C13" s="69" t="n">
        <ns0:v>-0.7158</ns0:v>
      </ns0:c>
      <ns0:c r="D13" s="70" t="n">
        <ns0:v>0.9874000000000001</ns0:v>
      </ns0:c>
      <ns0:c r="E13" s="69" t="n">
        <ns0:v>1.2503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-0.9559</ns0:v>
      </ns0:c>
      <ns0:c r="C14" s="69" t="n">
        <ns0:v>-0.973</ns0:v>
      </ns0:c>
      <ns0:c r="D14" s="70" t="n">
        <ns0:v>2.2604</ns0:v>
      </ns0:c>
      <ns0:c r="E14" s="69" t="n">
        <ns0:v>1.6756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-0.5405</ns0:v>
      </ns0:c>
      <ns0:c r="C15" s="69" t="n">
        <ns0:v>-0.5375</ns0:v>
      </ns0:c>
      <ns0:c r="D15" s="70" t="n">
        <ns0:v>1.0246</ns0:v>
      </ns0:c>
      <ns0:c r="E15" s="69" t="n">
        <ns0:v>0.9972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-0.8729</ns0:v>
      </ns0:c>
      <ns0:c r="C16" s="69" t="n">
        <ns0:v>-0.8829</ns0:v>
      </ns0:c>
      <ns0:c r="D16" s="70" t="n">
        <ns0:v>0.9416</ns0:v>
      </ns0:c>
      <ns0:c r="E16" s="69" t="n">
        <ns0:v>1.1334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-0.4708</ns0:v>
      </ns0:c>
      <ns0:c r="C17" s="69" t="n">
        <ns0:v>-0.4695</ns0:v>
      </ns0:c>
      <ns0:c r="D17" s="70" t="n">
        <ns0:v>0.8603</ns0:v>
      </ns0:c>
      <ns0:c r="E17" s="69" t="n">
        <ns0:v>0.7238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-1.080716272480658</ns0:v>
      </ns0:c>
      <ns0:c r="C26" s="75" t="n">
        <ns0:v>0.009903638091717728</ns0:v>
      </ns0:c>
      <ns0:c r="D26" s="75" t="n">
        <ns0:v>-0.09940924681733074</ns0:v>
      </ns0:c>
      <ns0:c r="E26" s="75" t="n">
        <ns0:v>0.02638990773764523</ns0:v>
      </ns0:c>
      <ns0:c r="F26" s="75" t="n">
        <ns0:v>-0.03271049442052108</ns0:v>
      </ns0:c>
      <ns0:c r="G26" s="75" t="n">
        <ns0:v>-0.08017118315971691</ns0:v>
      </ns0:c>
      <ns0:c r="H26" s="75" t="n">
        <ns0:v>-0.09196099763695575</ns0:v>
      </ns0:c>
      <ns0:c r="I26" s="75" t="n">
        <ns0:v>-0.03028722160465905</ns0:v>
      </ns0:c>
      <ns0:c r="J26" s="75" t="n">
        <ns0:v>-0.01164060127672932</ns0:v>
      </ns0:c>
      <ns0:c r="K26" s="75" t="n">
        <ns0:v>-0.0890441743033283</ns0:v>
      </ns0:c>
      <ns0:c r="L26" s="75" t="n">
        <ns0:v>-0.1234637734441248</ns0:v>
      </ns0:c>
      <ns0:c r="M26" s="75" t="n">
        <ns0:v>0.04519135662436622</ns0:v>
      </ns0:c>
    </ns0:row>
    <ns0:row r="27" ht="30" customHeight="1">
      <ns0:c r="A27" s="73" t="inlineStr">
        <ns0:is>
          <ns0:t>نان و غلات</ns0:t>
        </ns0:is>
      </ns0:c>
      <ns0:c r="B27" s="75" t="n">
        <ns0:v>0.1225708624895586</ns0:v>
      </ns0:c>
      <ns0:c r="C27" s="74" t="n">
        <ns0:v>-0.676699005034807</ns0:v>
      </ns0:c>
      <ns0:c r="D27" s="75" t="n">
        <ns0:v>0.2147850557579496</ns0:v>
      </ns0:c>
      <ns0:c r="E27" s="75" t="n">
        <ns0:v>-0.1255484664173516</ns0:v>
      </ns0:c>
      <ns0:c r="F27" s="75" t="n">
        <ns0:v>0.001518313572668815</ns0:v>
      </ns0:c>
      <ns0:c r="G27" s="75" t="n">
        <ns0:v>0.03333260482016931</ns0:v>
      </ns0:c>
      <ns0:c r="H27" s="75" t="n">
        <ns0:v>-0.08505361208861136</ns0:v>
      </ns0:c>
      <ns0:c r="I27" s="75" t="n">
        <ns0:v>0.03606485883450669</ns0:v>
      </ns0:c>
      <ns0:c r="J27" s="75" t="n">
        <ns0:v>0.0242405468822957</ns0:v>
      </ns0:c>
      <ns0:c r="K27" s="75" t="n">
        <ns0:v>-0.005057540815718221</ns0:v>
      </ns0:c>
      <ns0:c r="L27" s="75" t="n">
        <ns0:v>0.08727757747213231</ns0:v>
      </ns0:c>
      <ns0:c r="M27" s="75" t="n">
        <ns0:v>-0.03952938718324051</ns0:v>
      </ns0:c>
    </ns0:row>
    <ns0:row r="28" ht="30" customHeight="1">
      <ns0:c r="A28" s="73" t="inlineStr">
        <ns0:is>
          <ns0:t>گوشت</ns0:t>
        </ns0:is>
      </ns0:c>
      <ns0:c r="B28" s="75" t="n">
        <ns0:v>0.00117576854013984</ns0:v>
      </ns0:c>
      <ns0:c r="C28" s="75" t="n">
        <ns0:v>0.02114360150490127</ns0:v>
      </ns0:c>
      <ns0:c r="D28" s="74" t="n">
        <ns0:v>-0.9225263747456779</ns0:v>
      </ns0:c>
      <ns0:c r="E28" s="75" t="n">
        <ns0:v>-0.01424214876455556</ns0:v>
      </ns0:c>
      <ns0:c r="F28" s="75" t="n">
        <ns0:v>-0.08238351386463499</ns0:v>
      </ns0:c>
      <ns0:c r="G28" s="75" t="n">
        <ns0:v>-0.0058726682324526</ns0:v>
      </ns0:c>
      <ns0:c r="H28" s="75" t="n">
        <ns0:v>-0.092021003925487</ns0:v>
      </ns0:c>
      <ns0:c r="I28" s="75" t="n">
        <ns0:v>-0.02067725625902355</ns0:v>
      </ns0:c>
      <ns0:c r="J28" s="75" t="n">
        <ns0:v>-0.03747572439072763</ns0:v>
      </ns0:c>
      <ns0:c r="K28" s="75" t="n">
        <ns0:v>0.001820778289132811</ns0:v>
      </ns0:c>
      <ns0:c r="L28" s="75" t="n">
        <ns0:v>-0.04802376792544841</ns0:v>
      </ns0:c>
      <ns0:c r="M28" s="75" t="n">
        <ns0:v>-0.04555455535470489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0.1118439069524028</ns0:v>
      </ns0:c>
      <ns0:c r="C29" s="75" t="n">
        <ns0:v>-0.1860922342233665</ns0:v>
      </ns0:c>
      <ns0:c r="D29" s="75" t="n">
        <ns0:v>0.06142397553240524</ns0:v>
      </ns0:c>
      <ns0:c r="E29" s="74" t="n">
        <ns0:v>-0.7909832142137621</ns0:v>
      </ns0:c>
      <ns0:c r="F29" s="75" t="n">
        <ns0:v>0.001688098277185716</ns0:v>
      </ns0:c>
      <ns0:c r="G29" s="75" t="n">
        <ns0:v>0.03649641330422374</ns0:v>
      </ns0:c>
      <ns0:c r="H29" s="75" t="n">
        <ns0:v>-0.1575573069914519</ns0:v>
      </ns0:c>
      <ns0:c r="I29" s="75" t="n">
        <ns0:v>0.04568898045304513</ns0:v>
      </ns0:c>
      <ns0:c r="J29" s="75" t="n">
        <ns0:v>0.08997206701792591</ns0:v>
      </ns0:c>
      <ns0:c r="K29" s="75" t="n">
        <ns0:v>-0.047499173460068</ns0:v>
      </ns0:c>
      <ns0:c r="L29" s="75" t="n">
        <ns0:v>0.1149184373146865</ns0:v>
      </ns0:c>
      <ns0:c r="M29" s="75" t="n">
        <ns0:v>-0.1225260187964073</ns0:v>
      </ns0:c>
    </ns0:row>
    <ns0:row r="30" ht="30" customHeight="1">
      <ns0:c r="A30" s="73" t="inlineStr">
        <ns0:is>
          <ns0:t>روغن و چربی</ns0:t>
        </ns0:is>
      </ns0:c>
      <ns0:c r="B30" s="75" t="n">
        <ns0:v>0.02918777156048151</ns0:v>
      </ns0:c>
      <ns0:c r="C30" s="75" t="n">
        <ns0:v>-0.02407905324128276</ns0:v>
      </ns0:c>
      <ns0:c r="D30" s="75" t="n">
        <ns0:v>-0.1762104789478433</ns0:v>
      </ns0:c>
      <ns0:c r="E30" s="75" t="n">
        <ns0:v>0.1223727421679668</ns0:v>
      </ns0:c>
      <ns0:c r="F30" s="74" t="n">
        <ns0:v>-0.431199809459715</ns0:v>
      </ns0:c>
      <ns0:c r="G30" s="75" t="n">
        <ns0:v>-0.03597735730692057</ns0:v>
      </ns0:c>
      <ns0:c r="H30" s="75" t="n">
        <ns0:v>-0.05293199946318235</ns0:v>
      </ns0:c>
      <ns0:c r="I30" s="75" t="n">
        <ns0:v>-0.09661892802077603</ns0:v>
      </ns0:c>
      <ns0:c r="J30" s="75" t="n">
        <ns0:v>0.05941079937972139</ns0:v>
      </ns0:c>
      <ns0:c r="K30" s="75" t="n">
        <ns0:v>-0.008162758545789541</ns0:v>
      </ns0:c>
      <ns0:c r="L30" s="75" t="n">
        <ns0:v>-0.07555407702398503</ns0:v>
      </ns0:c>
      <ns0:c r="M30" s="75" t="n">
        <ns0:v>-0.007858961209911024</ns0:v>
      </ns0:c>
    </ns0:row>
    <ns0:row r="31" ht="30" customHeight="1">
      <ns0:c r="A31" s="73" t="inlineStr">
        <ns0:is>
          <ns0:t>میوه</ns0:t>
        </ns0:is>
      </ns0:c>
      <ns0:c r="B31" s="75" t="n">
        <ns0:v>-0.1581474560128368</ns0:v>
      </ns0:c>
      <ns0:c r="C31" s="75" t="n">
        <ns0:v>-0.004388979940054462</ns0:v>
      </ns0:c>
      <ns0:c r="D31" s="75" t="n">
        <ns0:v>-0.01493110986354011</ns0:v>
      </ns0:c>
      <ns0:c r="E31" s="75" t="n">
        <ns0:v>0.04646328025327857</ns0:v>
      </ns0:c>
      <ns0:c r="F31" s="75" t="n">
        <ns0:v>-0.09278892882720191</ns0:v>
      </ns0:c>
      <ns0:c r="G31" s="74" t="n">
        <ns0:v>-1.079566764895348</ns0:v>
      </ns0:c>
      <ns0:c r="H31" s="75" t="n">
        <ns0:v>0.1211503222929392</ns0:v>
      </ns0:c>
      <ns0:c r="I31" s="75" t="n">
        <ns0:v>-0.05202148471983465</ns0:v>
      </ns0:c>
      <ns0:c r="J31" s="75" t="n">
        <ns0:v>-0.1917014838387247</ns0:v>
      </ns0:c>
      <ns0:c r="K31" s="75" t="n">
        <ns0:v>0.04781242276167059</ns0:v>
      </ns0:c>
      <ns0:c r="L31" s="75" t="n">
        <ns0:v>-0.02903288249430766</ns0:v>
      </ns0:c>
      <ns0:c r="M31" s="75" t="n">
        <ns0:v>0.02649281818539985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-0.009367245558232325</ns0:v>
      </ns0:c>
      <ns0:c r="C32" s="75" t="n">
        <ns0:v>-0.123613284791588</ns0:v>
      </ns0:c>
      <ns0:c r="D32" s="75" t="n">
        <ns0:v>-0.06726976857537574</ns0:v>
      </ns0:c>
      <ns0:c r="E32" s="75" t="n">
        <ns0:v>-0.1383152886602119</ns0:v>
      </ns0:c>
      <ns0:c r="F32" s="75" t="n">
        <ns0:v>-0.003695052531558682</ns0:v>
      </ns0:c>
      <ns0:c r="G32" s="75" t="n">
        <ns0:v>0.04927284713265961</ns0:v>
      </ns0:c>
      <ns0:c r="H32" s="74" t="n">
        <ns0:v>-0.4715784888887945</ns0:v>
      </ns0:c>
      <ns0:c r="I32" s="75" t="n">
        <ns0:v>0.0001309144979304644</ns0:v>
      </ns0:c>
      <ns0:c r="J32" s="75" t="n">
        <ns0:v>0.01154615384846549</ns0:v>
      </ns0:c>
      <ns0:c r="K32" s="75" t="n">
        <ns0:v>-0.07038653640624695</ns0:v>
      </ns0:c>
      <ns0:c r="L32" s="75" t="n">
        <ns0:v>0.05970838690780975</ns0:v>
      </ns0:c>
      <ns0:c r="M32" s="75" t="n">
        <ns0:v>-0.02469109696177637</ns0:v>
      </ns0:c>
    </ns0:row>
    <ns0:row r="33" ht="30" customHeight="1">
      <ns0:c r="A33" s="73" t="inlineStr">
        <ns0:is>
          <ns0:t>حبوبات</ns0:t>
        </ns0:is>
      </ns0:c>
      <ns0:c r="B33" s="75" t="n">
        <ns0:v>-0.06334479296235737</ns0:v>
      </ns0:c>
      <ns0:c r="C33" s="75" t="n">
        <ns0:v>0.02822808768802935</ns0:v>
      </ns0:c>
      <ns0:c r="D33" s="75" t="n">
        <ns0:v>0.04432339267664551</ns0:v>
      </ns0:c>
      <ns0:c r="E33" s="75" t="n">
        <ns0:v>0.2544218056585046</ns0:v>
      </ns0:c>
      <ns0:c r="F33" s="75" t="n">
        <ns0:v>-0.1021059257590267</ns0:v>
      </ns0:c>
      <ns0:c r="G33" s="75" t="n">
        <ns0:v>-0.05507367997845026</ns0:v>
      </ns0:c>
      <ns0:c r="H33" s="75" t="n">
        <ns0:v>-0.1190533990251784</ns0:v>
      </ns0:c>
      <ns0:c r="I33" s="74" t="n">
        <ns0:v>-0.6915356939045667</ns0:v>
      </ns0:c>
      <ns0:c r="J33" s="75" t="n">
        <ns0:v>-0.1256326611282185</ns0:v>
      </ns0:c>
      <ns0:c r="K33" s="75" t="n">
        <ns0:v>-0.1656276081453697</ns0:v>
      </ns0:c>
      <ns0:c r="L33" s="75" t="n">
        <ns0:v>0.03341854543594941</ns0:v>
      </ns0:c>
      <ns0:c r="M33" s="75" t="n">
        <ns0:v>0.004662748784298022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-0.1757377252955081</ns0:v>
      </ns0:c>
      <ns0:c r="C34" s="75" t="n">
        <ns0:v>-0.08553405583141845</ns0:v>
      </ns0:c>
      <ns0:c r="D34" s="75" t="n">
        <ns0:v>-0.426547061688572</ns0:v>
      </ns0:c>
      <ns0:c r="E34" s="75" t="n">
        <ns0:v>0.09920032788244344</ns0:v>
      </ns0:c>
      <ns0:c r="F34" s="75" t="n">
        <ns0:v>0.005606469383710874</ns0:v>
      </ns0:c>
      <ns0:c r="G34" s="75" t="n">
        <ns0:v>-0.2473692687593254</ns0:v>
      </ns0:c>
      <ns0:c r="H34" s="75" t="n">
        <ns0:v>-0.1607859516310389</ns0:v>
      </ns0:c>
      <ns0:c r="I34" s="75" t="n">
        <ns0:v>-0.1690933229193976</ns0:v>
      </ns0:c>
      <ns0:c r="J34" s="74" t="n">
        <ns0:v>-0.9559356043978463</ns0:v>
      </ns0:c>
      <ns0:c r="K34" s="75" t="n">
        <ns0:v>-0.119361269649039</ns0:v>
      </ns0:c>
      <ns0:c r="L34" s="75" t="n">
        <ns0:v>-0.2088153887043091</ns0:v>
      </ns0:c>
      <ns0:c r="M34" s="75" t="n">
        <ns0:v>0.06401888020732556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-0.1221128116796091</ns0:v>
      </ns0:c>
      <ns0:c r="C35" s="75" t="n">
        <ns0:v>-0.06465710707365692</ns0:v>
      </ns0:c>
      <ns0:c r="D35" s="75" t="n">
        <ns0:v>0.00741849935093037</ns0:v>
      </ns0:c>
      <ns0:c r="E35" s="75" t="n">
        <ns0:v>-0.1111379169421417</ns0:v>
      </ns0:c>
      <ns0:c r="F35" s="75" t="n">
        <ns0:v>-0.01792776709892586</ns0:v>
      </ns0:c>
      <ns0:c r="G35" s="75" t="n">
        <ns0:v>0.04749173231561541</ns0:v>
      </ns0:c>
      <ns0:c r="H35" s="75" t="n">
        <ns0:v>-0.1121431485348037</ns0:v>
      </ns0:c>
      <ns0:c r="I35" s="75" t="n">
        <ns0:v>-0.0423694049940553</ns0:v>
      </ns0:c>
      <ns0:c r="J35" s="75" t="n">
        <ns0:v>-0.02314792981729635</ns0:v>
      </ns0:c>
      <ns0:c r="K35" s="74" t="n">
        <ns0:v>-0.5405283786519142</ns0:v>
      </ns0:c>
      <ns0:c r="L35" s="75" t="n">
        <ns0:v>-0.06290333315262232</ns0:v>
      </ns0:c>
      <ns0:c r="M35" s="75" t="n">
        <ns0:v>-0.004440343457673899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-0.2296685708156636</ns0:v>
      </ns0:c>
      <ns0:c r="C36" s="75" t="n">
        <ns0:v>0.1663069837417128</ns0:v>
      </ns0:c>
      <ns0:c r="D36" s="75" t="n">
        <ns0:v>-0.06391875407527274</ns0:v>
      </ns0:c>
      <ns0:c r="E36" s="75" t="n">
        <ns0:v>0.2719266017406337</ns0:v>
      </ns0:c>
      <ns0:c r="F36" s="75" t="n">
        <ns0:v>-0.09637978870910374</ns0:v>
      </ns0:c>
      <ns0:c r="G36" s="75" t="n">
        <ns0:v>-0.027497033054259</ns0:v>
      </ns0:c>
      <ns0:c r="H36" s="75" t="n">
        <ns0:v>0.1617171781049962</ns0:v>
      </ns0:c>
      <ns0:c r="I36" s="75" t="n">
        <ns0:v>0.08043916676576476</ns0:v>
      </ns0:c>
      <ns0:c r="J36" s="75" t="n">
        <ns0:v>-0.1256445906625174</ns0:v>
      </ns0:c>
      <ns0:c r="K36" s="75" t="n">
        <ns0:v>-0.1943058613862055</ns0:v>
      </ns0:c>
      <ns0:c r="L36" s="74" t="n">
        <ns0:v>-0.8729323798756565</ns0:v>
      </ns0:c>
      <ns0:c r="M36" s="75" t="n">
        <ns0:v>0.08460108525705594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0.2108225365815341</ns0:v>
      </ns0:c>
      <ns0:c r="C37" s="75" t="n">
        <ns0:v>-0.134725478176224</ns0:v>
      </ns0:c>
      <ns0:c r="D37" s="75" t="n">
        <ns0:v>-0.1628709816728886</ns0:v>
      </ns0:c>
      <ns0:c r="E37" s="75" t="n">
        <ns0:v>-0.3176772273847731</ns0:v>
      </ns0:c>
      <ns0:c r="F37" s="75" t="n">
        <ns0:v>-0.04918803373524316</ns0:v>
      </ns0:c>
      <ns0:c r="G37" s="75" t="n">
        <ns0:v>0.05434351800450704</ns0:v>
      </ns0:c>
      <ns0:c r="H37" s="75" t="n">
        <ns0:v>-0.1062120532204557</ns0:v>
      </ns0:c>
      <ns0:c r="I37" s="75" t="n">
        <ns0:v>-0.03204944995259592</ns0:v>
      </ns0:c>
      <ns0:c r="J37" s="75" t="n">
        <ns0:v>0.1761130632590411</ns0:v>
      </ns0:c>
      <ns0:c r="K37" s="75" t="n">
        <ns0:v>-0.04002411482860772</ns0:v>
      </ns0:c>
      <ns0:c r="L37" s="75" t="n">
        <ns0:v>0.01545902443322128</ns0:v>
      </ns0:c>
      <ns0:c r="M37" s="74" t="n">
        <ns0:v>-0.4707817126182501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-1.079663771186139</ns0:v>
      </ns0:c>
      <ns0:c r="C42" s="78" t="n">
        <ns0:v>-0.005134931414758177</ns0:v>
      </ns0:c>
      <ns0:c r="D42" s="78" t="n">
        <ns0:v>-0.1136469859170533</ns0:v>
      </ns0:c>
      <ns0:c r="E42" s="78" t="n">
        <ns0:v>0.01881708737630924</ns0:v>
      </ns0:c>
      <ns0:c r="F42" s="78" t="n">
        <ns0:v>-0.02983781736916484</ns0:v>
      </ns0:c>
      <ns0:c r="G42" s="78" t="n">
        <ns0:v>-0.08216450321736501</ns0:v>
      </ns0:c>
      <ns0:c r="H42" s="78" t="n">
        <ns0:v>-0.1019197854282619</ns0:v>
      </ns0:c>
      <ns0:c r="I42" s="78" t="n">
        <ns0:v>-0.03154285433954523</ns0:v>
      </ns0:c>
      <ns0:c r="J42" s="78" t="n">
        <ns0:v>-0.01070500324198623</ns0:v>
      </ns0:c>
      <ns0:c r="K42" s="78" t="n">
        <ns0:v>-0.08922900832752645</ns0:v>
      </ns0:c>
      <ns0:c r="L42" s="78" t="n">
        <ns0:v>-0.127777627161336</ns0:v>
      </ns0:c>
      <ns0:c r="M42" s="78" t="n">
        <ns0:v>0.04294502896000359</ns0:v>
      </ns0:c>
    </ns0:row>
    <ns0:row r="43" ht="30" customHeight="1">
      <ns0:c r="A43" s="73" t="inlineStr">
        <ns0:is>
          <ns0:t>نان و غلات</ns0:t>
        </ns0:is>
      </ns0:c>
      <ns0:c r="B43" s="78" t="n">
        <ns0:v>0.1188375520235974</ns0:v>
      </ns0:c>
      <ns0:c r="C43" s="77" t="n">
        <ns0:v>-0.6469491321480746</ns0:v>
      </ns0:c>
      <ns0:c r="D43" s="78" t="n">
        <ns0:v>0.2348131759232955</ns0:v>
      </ns0:c>
      <ns0:c r="E43" s="78" t="n">
        <ns0:v>-0.1074217214787509</ns0:v>
      </ns0:c>
      <ns0:c r="F43" s="78" t="n">
        <ns0:v>-0.01298997656156547</ns0:v>
      </ns0:c>
      <ns0:c r="G43" s="78" t="n">
        <ns0:v>0.03519745343953309</ns0:v>
      </ns0:c>
      <ns0:c r="H43" s="78" t="n">
        <ns0:v>-0.0688941750855102</ns0:v>
      </ns0:c>
      <ns0:c r="I43" s="78" t="n">
        <ns0:v>0.03948080818442049</ns0:v>
      </ns0:c>
      <ns0:c r="J43" s="78" t="n">
        <ns0:v>0.03516950783022186</ns0:v>
      </ns0:c>
      <ns0:c r="K43" s="78" t="n">
        <ns0:v>-0.000436834417485728</ns0:v>
      </ns0:c>
      <ns0:c r="L43" s="78" t="n">
        <ns0:v>0.09339064578307203</ns0:v>
      </ns0:c>
      <ns0:c r="M43" s="78" t="n">
        <ns0:v>-0.03115336332096952</ns0:v>
      </ns0:c>
    </ns0:row>
    <ns0:row r="44" ht="30" customHeight="1">
      <ns0:c r="A44" s="73" t="inlineStr">
        <ns0:is>
          <ns0:t>گوشت</ns0:t>
        </ns0:is>
      </ns0:c>
      <ns0:c r="B44" s="78" t="n">
        <ns0:v>-0.002121501796865031</ns0:v>
      </ns0:c>
      <ns0:c r="C44" s="78" t="n">
        <ns0:v>0.01775786903691697</ns0:v>
      </ns0:c>
      <ns0:c r="D44" s="77" t="n">
        <ns0:v>-0.9331048167830003</ns0:v>
      </ns0:c>
      <ns0:c r="E44" s="78" t="n">
        <ns0:v>-0.01957512762460975</ns0:v>
      </ns0:c>
      <ns0:c r="F44" s="78" t="n">
        <ns0:v>-0.07324736158691954</ns0:v>
      </ns0:c>
      <ns0:c r="G44" s="78" t="n">
        <ns0:v>-0.004788854354786023</ns0:v>
      </ns0:c>
      <ns0:c r="H44" s="78" t="n">
        <ns0:v>-0.09440648549006378</ns0:v>
      </ns0:c>
      <ns0:c r="I44" s="78" t="n">
        <ns0:v>-0.02096378857316068</ns0:v>
      </ns0:c>
      <ns0:c r="J44" s="78" t="n">
        <ns0:v>-0.03871016160003252</ns0:v>
      </ns0:c>
      <ns0:c r="K44" s="78" t="n">
        <ns0:v>-0.003994983542759455</ns0:v>
      </ns0:c>
      <ns0:c r="L44" s="78" t="n">
        <ns0:v>-0.04655290044111107</ns0:v>
      </ns0:c>
      <ns0:c r="M44" s="78" t="n">
        <ns0:v>-0.04692675275972848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0.1132448509584666</ns0:v>
      </ns0:c>
      <ns0:c r="C45" s="78" t="n">
        <ns0:v>-0.1767763964255003</ns0:v>
      </ns0:c>
      <ns0:c r="D45" s="78" t="n">
        <ns0:v>0.06141396107729646</ns0:v>
      </ns0:c>
      <ns0:c r="E45" s="77" t="n">
        <ns0:v>-0.7853951861784939</ns0:v>
      </ns0:c>
      <ns0:c r="F45" s="78" t="n">
        <ns0:v>-0.01363502310230344</ns0:v>
      </ns0:c>
      <ns0:c r="G45" s="78" t="n">
        <ns0:v>0.0361960226784052</ns0:v>
      </ns0:c>
      <ns0:c r="H45" s="78" t="n">
        <ns0:v>-0.1508340677387211</ns0:v>
      </ns0:c>
      <ns0:c r="I45" s="78" t="n">
        <ns0:v>0.04562295376028474</ns0:v>
      </ns0:c>
      <ns0:c r="J45" s="78" t="n">
        <ns0:v>0.1070586144432989</ns0:v>
      </ns0:c>
      <ns0:c r="K45" s="78" t="n">
        <ns0:v>-0.05183593067200575</ns0:v>
      </ns0:c>
      <ns0:c r="L45" s="78" t="n">
        <ns0:v>0.1136102524463847</ns0:v>
      </ns0:c>
      <ns0:c r="M45" s="78" t="n">
        <ns0:v>-0.1166623691602625</ns0:v>
      </ns0:c>
    </ns0:row>
    <ns0:row r="46" ht="30" customHeight="1">
      <ns0:c r="A46" s="73" t="inlineStr">
        <ns0:is>
          <ns0:t>روغن و چربی</ns0:t>
        </ns0:is>
      </ns0:c>
      <ns0:c r="B46" s="78" t="n">
        <ns0:v>0.02035189595561258</ns0:v>
      </ns0:c>
      <ns0:c r="C46" s="78" t="n">
        <ns0:v>-0.100675698519487</ns0:v>
      </ns0:c>
      <ns0:c r="D46" s="78" t="n">
        <ns0:v>-0.2155556830113732</ns0:v>
      </ns0:c>
      <ns0:c r="E46" s="78" t="n">
        <ns0:v>0.06007722892743911</ns0:v>
      </ns0:c>
      <ns0:c r="F46" s="77" t="n">
        <ns0:v>-0.4252117421936761</ns0:v>
      </ns0:c>
      <ns0:c r="G46" s="78" t="n">
        <ns0:v>-0.05229792637395322</ns0:v>
      </ns0:c>
      <ns0:c r="H46" s="78" t="n">
        <ns0:v>-0.1090716915029845</ns0:v>
      </ns0:c>
      <ns0:c r="I46" s="78" t="n">
        <ns0:v>-0.116603616669032</ns0:v>
      </ns0:c>
      <ns0:c r="J46" s="78" t="n">
        <ns0:v>0.0335107908844418</ns0:v>
      </ns0:c>
      <ns0:c r="K46" s="78" t="n">
        <ns0:v>-0.01341654092491209</ns0:v>
      </ns0:c>
      <ns0:c r="L46" s="78" t="n">
        <ns0:v>-0.09214490652423628</ns0:v>
      </ns0:c>
      <ns0:c r="M46" s="78" t="n">
        <ns0:v>-0.0260629814638605</ns0:v>
      </ns0:c>
    </ns0:row>
    <ns0:row r="47" ht="30" customHeight="1">
      <ns0:c r="A47" s="73" t="inlineStr">
        <ns0:is>
          <ns0:t>میوه</ns0:t>
        </ns0:is>
      </ns0:c>
      <ns0:c r="B47" s="78" t="n">
        <ns0:v>-0.1590224283722214</ns0:v>
      </ns0:c>
      <ns0:c r="C47" s="78" t="n">
        <ns0:v>-0.01171441186103298</ns0:v>
      </ns0:c>
      <ns0:c r="D47" s="78" t="n">
        <ns0:v>-0.009287810612692711</ns0:v>
      </ns0:c>
      <ns0:c r="E47" s="78" t="n">
        <ns0:v>0.0443562852325747</ns0:v>
      </ns0:c>
      <ns0:c r="F47" s="78" t="n">
        <ns0:v>-0.09691978679811596</ns0:v>
      </ns0:c>
      <ns0:c r="G47" s="77" t="n">
        <ns0:v>-1.073978360497438</ns0:v>
      </ns0:c>
      <ns0:c r="H47" s="78" t="n">
        <ns0:v>0.1123689021947817</ns0:v>
      </ns0:c>
      <ns0:c r="I47" s="78" t="n">
        <ns0:v>-0.05240593058212891</ns0:v>
      </ns0:c>
      <ns0:c r="J47" s="78" t="n">
        <ns0:v>-0.1952190629169818</ns0:v>
      </ns0:c>
      <ns0:c r="K47" s="78" t="n">
        <ns0:v>0.0457666150401972</ns0:v>
      </ns0:c>
      <ns0:c r="L47" s="78" t="n">
        <ns0:v>-0.02808473104418685</ns0:v>
      </ns0:c>
      <ns0:c r="M47" s="78" t="n">
        <ns0:v>0.02350158551146934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-0.008756038237889461</ns0:v>
      </ns0:c>
      <ns0:c r="C48" s="78" t="n">
        <ns0:v>-0.1140143426834807</ns0:v>
      </ns0:c>
      <ns0:c r="D48" s="78" t="n">
        <ns0:v>-0.05217128829169491</ns0:v>
      </ns0:c>
      <ns0:c r="E48" s="78" t="n">
        <ns0:v>-0.1278603539092543</ns0:v>
      </ns0:c>
      <ns0:c r="F48" s="78" t="n">
        <ns0:v>-0.004045940001316459</ns0:v>
      </ns0:c>
      <ns0:c r="G48" s="78" t="n">
        <ns0:v>0.05017755099521565</ns0:v>
      </ns0:c>
      <ns0:c r="H48" s="77" t="n">
        <ns0:v>-0.4615008107390448</ns0:v>
      </ns0:c>
      <ns0:c r="I48" s="78" t="n">
        <ns0:v>0.003405544583409411</ns0:v>
      </ns0:c>
      <ns0:c r="J48" s="78" t="n">
        <ns0:v>0.008830467184453801</ns0:v>
      </ns0:c>
      <ns0:c r="K48" s="78" t="n">
        <ns0:v>-0.06269933042138652</ns0:v>
      </ns0:c>
      <ns0:c r="L48" s="78" t="n">
        <ns0:v>0.06031066849990663</ns0:v>
      </ns0:c>
      <ns0:c r="M48" s="78" t="n">
        <ns0:v>-0.02107645148643613</ns0:v>
      </ns0:c>
    </ns0:row>
    <ns0:row r="49" ht="30" customHeight="1">
      <ns0:c r="A49" s="73" t="inlineStr">
        <ns0:is>
          <ns0:t>حبوبات</ns0:t>
        </ns0:is>
      </ns0:c>
      <ns0:c r="B49" s="78" t="n">
        <ns0:v>-0.07791664049604605</ns0:v>
      </ns0:c>
      <ns0:c r="C49" s="78" t="n">
        <ns0:v>-0.01072681510069669</ns0:v>
      </ns0:c>
      <ns0:c r="D49" s="78" t="n">
        <ns0:v>-0.01038305618732845</ns0:v>
      </ns0:c>
      <ns0:c r="E49" s="78" t="n">
        <ns0:v>0.2116782593440136</ns0:v>
      </ns0:c>
      <ns0:c r="F49" s="78" t="n">
        <ns0:v>-0.1143857204132866</ns0:v>
      </ns0:c>
      <ns0:c r="G49" s="78" t="n">
        <ns0:v>-0.06837504201328026</ns0:v>
      </ns0:c>
      <ns0:c r="H49" s="78" t="n">
        <ns0:v>-0.1455038347417527</ns0:v>
      </ns0:c>
      <ns0:c r="I49" s="77" t="n">
        <ns0:v>-0.7158079770228356</ns0:v>
      </ns0:c>
      <ns0:c r="J49" s="78" t="n">
        <ns0:v>-0.1130082061358783</ns0:v>
      </ns0:c>
      <ns0:c r="K49" s="78" t="n">
        <ns0:v>-0.1742458079128396</ns0:v>
      </ns0:c>
      <ns0:c r="L49" s="78" t="n">
        <ns0:v>0.01530790920083425</ns0:v>
      </ns0:c>
      <ns0:c r="M49" s="78" t="n">
        <ns0:v>-0.005277302525179261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-0.1320294238663007</ns0:v>
      </ns0:c>
      <ns0:c r="C50" s="78" t="n">
        <ns0:v>0.005607617990360757</ns0:v>
      </ns0:c>
      <ns0:c r="D50" s="78" t="n">
        <ns0:v>-0.2975193325359937</ns0:v>
      </ns0:c>
      <ns0:c r="E50" s="78" t="n">
        <ns0:v>0.2048232952156221</ns0:v>
      </ns0:c>
      <ns0:c r="F50" s="78" t="n">
        <ns0:v>0.01941400563544675</ns0:v>
      </ns0:c>
      <ns0:c r="G50" s="78" t="n">
        <ns0:v>-0.2208274077066793</ns0:v>
      </ns0:c>
      <ns0:c r="H50" s="78" t="n">
        <ns0:v>-0.09272910577554293</ns0:v>
      </ns0:c>
      <ns0:c r="I50" s="78" t="n">
        <ns0:v>-0.1294533063901687</ns0:v>
      </ns0:c>
      <ns0:c r="J50" s="77" t="n">
        <ns0:v>-0.9729864465977834</ns0:v>
      </ns0:c>
      <ns0:c r="K50" s="78" t="n">
        <ns0:v>-0.08894254616850708</ns0:v>
      </ns0:c>
      <ns0:c r="L50" s="78" t="n">
        <ns0:v>-0.169416781312263</ns0:v>
      </ns0:c>
      <ns0:c r="M50" s="78" t="n">
        <ns0:v>0.07731312411323601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-0.1087021747350631</ns0:v>
      </ns0:c>
      <ns0:c r="C51" s="78" t="n">
        <ns0:v>-0.06654215152198059</ns0:v>
      </ns0:c>
      <ns0:c r="D51" s="78" t="n">
        <ns0:v>0.005597540405296745</ns0:v>
      </ns0:c>
      <ns0:c r="E51" s="78" t="n">
        <ns0:v>-0.1090870012272242</ns0:v>
      </ns0:c>
      <ns0:c r="F51" s="78" t="n">
        <ns0:v>-0.005495227404838601</ns0:v>
      </ns0:c>
      <ns0:c r="G51" s="78" t="n">
        <ns0:v>0.04962016530803412</ns0:v>
      </ns0:c>
      <ns0:c r="H51" s="78" t="n">
        <ns0:v>-0.1100002508280209</ns0:v>
      </ns0:c>
      <ns0:c r="I51" s="78" t="n">
        <ns0:v>-0.03700402863221989</ns0:v>
      </ns0:c>
      <ns0:c r="J51" s="78" t="n">
        <ns0:v>-0.03491362954990761</ns0:v>
      </ns0:c>
      <ns0:c r="K51" s="77" t="n">
        <ns0:v>-0.5375189967318175</ns0:v>
      </ns0:c>
      <ns0:c r="L51" s="78" t="n">
        <ns0:v>-0.06431017249884388</ns0:v>
      </ns0:c>
      <ns0:c r="M51" s="78" t="n">
        <ns0:v>-0.006454324568065896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-0.2514740654959611</ns0:v>
      </ns0:c>
      <ns0:c r="C52" s="78" t="n">
        <ns0:v>0.1434926902089995</ns0:v>
      </ns0:c>
      <ns0:c r="D52" s="78" t="n">
        <ns0:v>-0.09782660353805138</ns0:v>
      </ns0:c>
      <ns0:c r="E52" s="78" t="n">
        <ns0:v>0.2402584266982237</ns0:v>
      </ns0:c>
      <ns0:c r="F52" s="78" t="n">
        <ns0:v>-0.1034524589315372</ns0:v>
      </ns0:c>
      <ns0:c r="G52" s="78" t="n">
        <ns0:v>-0.03595536621069757</ns0:v>
      </ns0:c>
      <ns0:c r="H52" s="78" t="n">
        <ns0:v>0.135261205388302</ns0:v>
      </ns0:c>
      <ns0:c r="I52" s="78" t="n">
        <ns0:v>0.06600741134787268</ns0:v>
      </ns0:c>
      <ns0:c r="J52" s="78" t="n">
        <ns0:v>-0.1171421293022956</ns0:v>
      </ns0:c>
      <ns0:c r="K52" s="78" t="n">
        <ns0:v>-0.2047276421319375</ns0:v>
      </ns0:c>
      <ns0:c r="L52" s="77" t="n">
        <ns0:v>-0.8829100651830304</ns0:v>
      </ns0:c>
      <ns0:c r="M52" s="78" t="n">
        <ns0:v>0.07556415530768142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0.2203377633824971</ns0:v>
      </ns0:c>
      <ns0:c r="C53" s="78" t="n">
        <ns0:v>-0.1065119690414254</ns0:v>
      </ns0:c>
      <ns0:c r="D53" s="78" t="n">
        <ns0:v>-0.1352217213458312</ns0:v>
      </ns0:c>
      <ns0:c r="E53" s="78" t="n">
        <ns0:v>-0.2904289623043499</ns0:v>
      </ns0:c>
      <ns0:c r="F53" s="78" t="n">
        <ns0:v>-0.0471296678845301</ns0:v>
      </ns0:c>
      <ns0:c r="G53" s="78" t="n">
        <ns0:v>0.05930358736720551</ns0:v>
      </ns0:c>
      <ns0:c r="H53" s="78" t="n">
        <ns0:v>-0.08394803742321121</ns0:v>
      </ns0:c>
      <ns0:c r="I53" s="78" t="n">
        <ns0:v>-0.0276091563499456</ns0:v>
      </ns0:c>
      <ns0:c r="J53" s="78" t="n">
        <ns0:v>0.1684555048587385</ns0:v>
      </ns0:c>
      <ns0:c r="K53" s="78" t="n">
        <ns0:v>-0.02975882091097507</ns0:v>
      </ns0:c>
      <ns0:c r="L53" s="78" t="n">
        <ns0:v>0.02136354766715736</ns0:v>
      </ns0:c>
      <ns0:c r="M53" s="77" t="n">
        <ns0:v>-0.4694835007996468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18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کوهرت 1398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-1.0811</ns0:v>
      </ns0:c>
      <ns0:c r="C6" s="69" t="n">
        <ns0:v>-1.08</ns0:v>
      </ns0:c>
      <ns0:c r="D6" s="70" t="n">
        <ns0:v>1.5573</ns0:v>
      </ns0:c>
      <ns0:c r="E6" s="69" t="n">
        <ns0:v>1.61</ns0:v>
      </ns0:c>
    </ns0:row>
    <ns0:row r="7" ht="23" customHeight="1">
      <ns0:c r="A7" s="28" t="inlineStr">
        <ns0:is>
          <ns0:t>نان و غلات</ns0:t>
        </ns0:is>
      </ns0:c>
      <ns0:c r="B7" s="68" t="n">
        <ns0:v>-0.6414</ns0:v>
      </ns0:c>
      <ns0:c r="C7" s="69" t="n">
        <ns0:v>-0.6082</ns0:v>
      </ns0:c>
      <ns0:c r="D7" s="70" t="n">
        <ns0:v>0.3403</ns0:v>
      </ns0:c>
      <ns0:c r="E7" s="69" t="n">
        <ns0:v>0.2248</ns0:v>
      </ns0:c>
    </ns0:row>
    <ns0:row r="8" ht="23" customHeight="1">
      <ns0:c r="A8" s="28" t="inlineStr">
        <ns0:is>
          <ns0:t>گوشت</ns0:t>
        </ns0:is>
      </ns0:c>
      <ns0:c r="B8" s="68" t="n">
        <ns0:v>-0.9282</ns0:v>
      </ns0:c>
      <ns0:c r="C8" s="69" t="n">
        <ns0:v>-0.9388</ns0:v>
      </ns0:c>
      <ns0:c r="D8" s="70" t="n">
        <ns0:v>1.2374</ns0:v>
      </ns0:c>
      <ns0:c r="E8" s="69" t="n">
        <ns0:v>1.2581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-0.7924</ns0:v>
      </ns0:c>
      <ns0:c r="C9" s="69" t="n">
        <ns0:v>-0.7865</ns0:v>
      </ns0:c>
      <ns0:c r="D9" s="70" t="n">
        <ns0:v>0.8473000000000001</ns0:v>
      </ns0:c>
      <ns0:c r="E9" s="69" t="n">
        <ns0:v>0.8226</ns0:v>
      </ns0:c>
    </ns0:row>
    <ns0:row r="10" ht="23" customHeight="1">
      <ns0:c r="A10" s="28" t="inlineStr">
        <ns0:is>
          <ns0:t>روغن و چربی</ns0:t>
        </ns0:is>
      </ns0:c>
      <ns0:c r="B10" s="68" t="n">
        <ns0:v>-0.4303</ns0:v>
      </ns0:c>
      <ns0:c r="C10" s="69" t="n">
        <ns0:v>-0.4234</ns0:v>
      </ns0:c>
      <ns0:c r="D10" s="70" t="n">
        <ns0:v>0.6955</ns0:v>
      </ns0:c>
      <ns0:c r="E10" s="69" t="n">
        <ns0:v>1.0284</ns0:v>
      </ns0:c>
    </ns0:row>
    <ns0:row r="11" ht="23" customHeight="1">
      <ns0:c r="A11" s="28" t="inlineStr">
        <ns0:is>
          <ns0:t>میوه</ns0:t>
        </ns0:is>
      </ns0:c>
      <ns0:c r="B11" s="68" t="n">
        <ns0:v>-1.0791</ns0:v>
      </ns0:c>
      <ns0:c r="C11" s="69" t="n">
        <ns0:v>-1.0736</ns0:v>
      </ns0:c>
      <ns0:c r="D11" s="70" t="n">
        <ns0:v>1.3681</ns0:v>
      </ns0:c>
      <ns0:c r="E11" s="69" t="n">
        <ns0:v>1.3843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-0.4807</ns0:v>
      </ns0:c>
      <ns0:c r="C12" s="69" t="n">
        <ns0:v>-0.47</ns0:v>
      </ns0:c>
      <ns0:c r="D12" s="70" t="n">
        <ns0:v>0.7662</ns0:v>
      </ns0:c>
      <ns0:c r="E12" s="69" t="n">
        <ns0:v>0.7047</ns0:v>
      </ns0:c>
    </ns0:row>
    <ns0:row r="13" ht="23" customHeight="1">
      <ns0:c r="A13" s="28" t="inlineStr">
        <ns0:is>
          <ns0:t>حبوبات</ns0:t>
        </ns0:is>
      </ns0:c>
      <ns0:c r="B13" s="68" t="n">
        <ns0:v>-0.7036</ns0:v>
      </ns0:c>
      <ns0:c r="C13" s="69" t="n">
        <ns0:v>-0.7275</ns0:v>
      </ns0:c>
      <ns0:c r="D13" s="70" t="n">
        <ns0:v>1.0134</ns0:v>
      </ns0:c>
      <ns0:c r="E13" s="69" t="n">
        <ns0:v>1.274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-0.9347</ns0:v>
      </ns0:c>
      <ns0:c r="C14" s="69" t="n">
        <ns0:v>-0.9563</ns0:v>
      </ns0:c>
      <ns0:c r="D14" s="70" t="n">
        <ns0:v>2.3018</ns0:v>
      </ns0:c>
      <ns0:c r="E14" s="69" t="n">
        <ns0:v>1.661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-0.5609</ns0:v>
      </ns0:c>
      <ns0:c r="C15" s="69" t="n">
        <ns0:v>-0.5578</ns0:v>
      </ns0:c>
      <ns0:c r="D15" s="70" t="n">
        <ns0:v>1.0287</ns0:v>
      </ns0:c>
      <ns0:c r="E15" s="69" t="n">
        <ns0:v>0.9995000000000001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-0.8838</ns0:v>
      </ns0:c>
      <ns0:c r="C16" s="69" t="n">
        <ns0:v>-0.8939</ns0:v>
      </ns0:c>
      <ns0:c r="D16" s="70" t="n">
        <ns0:v>0.9645</ns0:v>
      </ns0:c>
      <ns0:c r="E16" s="69" t="n">
        <ns0:v>1.156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-0.4562</ns0:v>
      </ns0:c>
      <ns0:c r="C17" s="69" t="n">
        <ns0:v>-0.4547</ns0:v>
      </ns0:c>
      <ns0:c r="D17" s="70" t="n">
        <ns0:v>0.8626</ns0:v>
      </ns0:c>
      <ns0:c r="E17" s="69" t="n">
        <ns0:v>0.7204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-1.081097299784668</ns0:v>
      </ns0:c>
      <ns0:c r="C26" s="75" t="n">
        <ns0:v>0.01725738706231417</ns0:v>
      </ns0:c>
      <ns0:c r="D26" s="75" t="n">
        <ns0:v>-0.1037258368861136</ns0:v>
      </ns0:c>
      <ns0:c r="E26" s="75" t="n">
        <ns0:v>0.02699738933303668</ns0:v>
      </ns0:c>
      <ns0:c r="F26" s="75" t="n">
        <ns0:v>-0.03203562097929567</ns0:v>
      </ns0:c>
      <ns0:c r="G26" s="75" t="n">
        <ns0:v>-0.0805736398792305</ns0:v>
      </ns0:c>
      <ns0:c r="H26" s="75" t="n">
        <ns0:v>-0.09195533751925945</ns0:v>
      </ns0:c>
      <ns0:c r="I26" s="75" t="n">
        <ns0:v>-0.03059119854079758</ns0:v>
      </ns0:c>
      <ns0:c r="J26" s="75" t="n">
        <ns0:v>-0.00947976799197995</ns0:v>
      </ns0:c>
      <ns0:c r="K26" s="75" t="n">
        <ns0:v>-0.08990583350164051</ns0:v>
      </ns0:c>
      <ns0:c r="L26" s="75" t="n">
        <ns0:v>-0.1242795979821981</ns0:v>
      </ns0:c>
      <ns0:c r="M26" s="75" t="n">
        <ns0:v>0.04669619589604778</ns0:v>
      </ns0:c>
    </ns0:row>
    <ns0:row r="27" ht="30" customHeight="1">
      <ns0:c r="A27" s="73" t="inlineStr">
        <ns0:is>
          <ns0:t>نان و غلات</ns0:t>
        </ns0:is>
      </ns0:c>
      <ns0:c r="B27" s="75" t="n">
        <ns0:v>0.1390125567355944</ns0:v>
      </ns0:c>
      <ns0:c r="C27" s="74" t="n">
        <ns0:v>-0.641417753866292</ns0:v>
      </ns0:c>
      <ns0:c r="D27" s="75" t="n">
        <ns0:v>0.2531652168453962</ns0:v>
      </ns0:c>
      <ns0:c r="E27" s="75" t="n">
        <ns0:v>-0.1395366071778853</ns0:v>
      </ns0:c>
      <ns0:c r="F27" s="75" t="n">
        <ns0:v>0.004024783339541033</ns0:v>
      </ns0:c>
      <ns0:c r="G27" s="75" t="n">
        <ns0:v>0.03937459296998236</ns0:v>
      </ns0:c>
      <ns0:c r="H27" s="75" t="n">
        <ns0:v>-0.09303139959673111</ns0:v>
      </ns0:c>
      <ns0:c r="I27" s="75" t="n">
        <ns0:v>0.04375514685370983</ns0:v>
      </ns0:c>
      <ns0:c r="J27" s="75" t="n">
        <ns0:v>0.02384291307543364</ns0:v>
      </ns0:c>
      <ns0:c r="K27" s="75" t="n">
        <ns0:v>-0.005102274979823413</ns0:v>
      </ns0:c>
      <ns0:c r="L27" s="75" t="n">
        <ns0:v>0.1015316406366763</ns0:v>
      </ns0:c>
      <ns0:c r="M27" s="75" t="n">
        <ns0:v>-0.04493920753610683</ns0:v>
      </ns0:c>
    </ns0:row>
    <ns0:row r="28" ht="30" customHeight="1">
      <ns0:c r="A28" s="73" t="inlineStr">
        <ns0:is>
          <ns0:t>گوشت</ns0:t>
        </ns0:is>
      </ns0:c>
      <ns0:c r="B28" s="75" t="n">
        <ns0:v>0.001015098683045476</ns0:v>
      </ns0:c>
      <ns0:c r="C28" s="75" t="n">
        <ns0:v>0.02269022964203288</ns0:v>
      </ns0:c>
      <ns0:c r="D28" s="74" t="n">
        <ns0:v>-0.9282328303244967</ns0:v>
      </ns0:c>
      <ns0:c r="E28" s="75" t="n">
        <ns0:v>-0.01434574204176042</ns0:v>
      </ns0:c>
      <ns0:c r="F28" s="75" t="n">
        <ns0:v>-0.07956100577642936</ns0:v>
      </ns0:c>
      <ns0:c r="G28" s="75" t="n">
        <ns0:v>-0.005943392042147722</ns0:v>
      </ns0:c>
      <ns0:c r="H28" s="75" t="n">
        <ns0:v>-0.08933066425888082</ns0:v>
      </ns0:c>
      <ns0:c r="I28" s="75" t="n">
        <ns0:v>-0.02057495670704275</ns0:v>
      </ns0:c>
      <ns0:c r="J28" s="75" t="n">
        <ns0:v>-0.03496809573304293</ns0:v>
      </ns0:c>
      <ns0:c r="K28" s="75" t="n">
        <ns0:v>0.001094320963167634</ns0:v>
      </ns0:c>
      <ns0:c r="L28" s="75" t="n">
        <ns0:v>-0.04678347380396864</ns0:v>
      </ns0:c>
      <ns0:c r="M28" s="75" t="n">
        <ns0:v>-0.04357869558552386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0.111281816237798</ns0:v>
      </ns0:c>
      <ns0:c r="C29" s="75" t="n">
        <ns0:v>-0.186660515250752</ns0:v>
      </ns0:c>
      <ns0:c r="D29" s="75" t="n">
        <ns0:v>0.06277197500331975</ns0:v>
      </ns0:c>
      <ns0:c r="E29" s="74" t="n">
        <ns0:v>-0.7924074144884649</ns0:v>
      </ns0:c>
      <ns0:c r="F29" s="75" t="n">
        <ns0:v>0.001984819189310217</ns0:v>
      </ns0:c>
      <ns0:c r="G29" s="75" t="n">
        <ns0:v>0.03631414075100857</ns0:v>
      </ns0:c>
      <ns0:c r="H29" s="75" t="n">
        <ns0:v>-0.1562985095114314</ns0:v>
      </ns0:c>
      <ns0:c r="I29" s="75" t="n">
        <ns0:v>0.04602100414111917</ns0:v>
      </ns0:c>
      <ns0:c r="J29" s="75" t="n">
        <ns0:v>0.08933581598149343</ns0:v>
      </ns0:c>
      <ns0:c r="K29" s="75" t="n">
        <ns0:v>-0.04718844337786319</ns0:v>
      </ns0:c>
      <ns0:c r="L29" s="75" t="n">
        <ns0:v>0.1147581345334679</ns0:v>
      </ns0:c>
      <ns0:c r="M29" s="75" t="n">
        <ns0:v>-0.1223044098265508</ns0:v>
      </ns0:c>
    </ns0:row>
    <ns0:row r="30" ht="30" customHeight="1">
      <ns0:c r="A30" s="73" t="inlineStr">
        <ns0:is>
          <ns0:t>روغن و چربی</ns0:t>
        </ns0:is>
      </ns0:c>
      <ns0:c r="B30" s="75" t="n">
        <ns0:v>0.02706087878026401</ns0:v>
      </ns0:c>
      <ns0:c r="C30" s="75" t="n">
        <ns0:v>-0.03334564860977864</ns0:v>
      </ns0:c>
      <ns0:c r="D30" s="75" t="n">
        <ns0:v>-0.1789465939644294</ns0:v>
      </ns0:c>
      <ns0:c r="E30" s="75" t="n">
        <ns0:v>0.1308042584562123</ns0:v>
      </ns0:c>
      <ns0:c r="F30" s="74" t="n">
        <ns0:v>-0.4303058938405108</ns0:v>
      </ns0:c>
      <ns0:c r="G30" s="75" t="n">
        <ns0:v>-0.0383348751446517</ns0:v>
      </ns0:c>
      <ns0:c r="H30" s="75" t="n">
        <ns0:v>-0.06036816944650778</ns0:v>
      </ns0:c>
      <ns0:c r="I30" s="75" t="n">
        <ns0:v>-0.1027486675780822</ns0:v>
      </ns0:c>
      <ns0:c r="J30" s="75" t="n">
        <ns0:v>0.05848291354935969</ns0:v>
      </ns0:c>
      <ns0:c r="K30" s="75" t="n">
        <ns0:v>-0.00887413337388796</ns0:v>
      </ns0:c>
      <ns0:c r="L30" s="75" t="n">
        <ns0:v>-0.07637570977821409</ns0:v>
      </ns0:c>
      <ns0:c r="M30" s="75" t="n">
        <ns0:v>-0.007515618554338369</ns0:v>
      </ns0:c>
    </ns0:row>
    <ns0:row r="31" ht="30" customHeight="1">
      <ns0:c r="A31" s="73" t="inlineStr">
        <ns0:is>
          <ns0:t>میوه</ns0:t>
        </ns0:is>
      </ns0:c>
      <ns0:c r="B31" s="75" t="n">
        <ns0:v>-0.1559744929766813</ns0:v>
      </ns0:c>
      <ns0:c r="C31" s="75" t="n">
        <ns0:v>-0.00517526812381769</ns0:v>
      </ns0:c>
      <ns0:c r="D31" s="75" t="n">
        <ns0:v>-0.01590452359717315</ns0:v>
      </ns0:c>
      <ns0:c r="E31" s="75" t="n">
        <ns0:v>0.04507278537921103</ns0:v>
      </ns0:c>
      <ns0:c r="F31" s="75" t="n">
        <ns0:v>-0.09213331297475046</ns0:v>
      </ns0:c>
      <ns0:c r="G31" s="74" t="n">
        <ns0:v>-1.079056423248808</ns0:v>
      </ns0:c>
      <ns0:c r="H31" s="75" t="n">
        <ns0:v>0.1186424011652702</ns0:v>
      </ns0:c>
      <ns0:c r="I31" s="75" t="n">
        <ns0:v>-0.05175568062219071</ns0:v>
      </ns0:c>
      <ns0:c r="J31" s="75" t="n">
        <ns0:v>-0.18890464543069</ns0:v>
      </ns0:c>
      <ns0:c r="K31" s="75" t="n">
        <ns0:v>0.04668284097832674</ns0:v>
      </ns0:c>
      <ns0:c r="L31" s="75" t="n">
        <ns0:v>-0.02902703287093973</ns0:v>
      </ns0:c>
      <ns0:c r="M31" s="75" t="n">
        <ns0:v>0.02583099547630439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-0.009832438198683393</ns0:v>
      </ns0:c>
      <ns0:c r="C32" s="75" t="n">
        <ns0:v>-0.1233576763587194</ns0:v>
      </ns0:c>
      <ns0:c r="D32" s="75" t="n">
        <ns0:v>-0.06760262117363713</ns0:v>
      </ns0:c>
      <ns0:c r="E32" s="75" t="n">
        <ns0:v>-0.1377758266369656</ns0:v>
      </ns0:c>
      <ns0:c r="F32" s="75" t="n">
        <ns0:v>-0.003105448996098161</ns0:v>
      </ns0:c>
      <ns0:c r="G32" s="75" t="n">
        <ns0:v>0.04943752059077238</ns0:v>
      </ns0:c>
      <ns0:c r="H32" s="74" t="n">
        <ns0:v>-0.4806922600229141</ns0:v>
      </ns0:c>
      <ns0:c r="I32" s="75" t="n">
        <ns0:v>0.0009584290860258834</ns0:v>
      </ns0:c>
      <ns0:c r="J32" s="75" t="n">
        <ns0:v>0.009509756503880761</ns0:v>
      </ns0:c>
      <ns0:c r="K32" s="75" t="n">
        <ns0:v>-0.06885154494130524</ns0:v>
      </ns0:c>
      <ns0:c r="L32" s="75" t="n">
        <ns0:v>0.05905758817386271</ns0:v>
      </ns0:c>
      <ns0:c r="M32" s="75" t="n">
        <ns0:v>-0.0218937271437906</ns0:v>
      </ns0:c>
    </ns0:row>
    <ns0:row r="33" ht="30" customHeight="1">
      <ns0:c r="A33" s="73" t="inlineStr">
        <ns0:is>
          <ns0:t>حبوبات</ns0:t>
        </ns0:is>
      </ns0:c>
      <ns0:c r="B33" s="75" t="n">
        <ns0:v>-0.06400873389291162</ns0:v>
      </ns0:c>
      <ns0:c r="C33" s="75" t="n">
        <ns0:v>0.02055444061354703</ns0:v>
      </ns0:c>
      <ns0:c r="D33" s="75" t="n">
        <ns0:v>0.04446698726441822</ns0:v>
      </ns0:c>
      <ns0:c r="E33" s="75" t="n">
        <ns0:v>0.2502247658842237</ns0:v>
      </ns0:c>
      <ns0:c r="F33" s="75" t="n">
        <ns0:v>-0.1009661492301639</ns0:v>
      </ns0:c>
      <ns0:c r="G33" s="75" t="n">
        <ns0:v>-0.05646298942136289</ns0:v>
      </ns0:c>
      <ns0:c r="H33" s="75" t="n">
        <ns0:v>-0.1221457746811995</ns0:v>
      </ns0:c>
      <ns0:c r="I33" s="74" t="n">
        <ns0:v>-0.7035813345748918</ns0:v>
      </ns0:c>
      <ns0:c r="J33" s="75" t="n">
        <ns0:v>-0.1209751896493235</ns0:v>
      </ns0:c>
      <ns0:c r="K33" s="75" t="n">
        <ns0:v>-0.1666065000438155</ns0:v>
      </ns0:c>
      <ns0:c r="L33" s="75" t="n">
        <ns0:v>0.0313451249259757</ns0:v>
      </ns0:c>
      <ns0:c r="M33" s="75" t="n">
        <ns0:v>0.005386245529550938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-0.174189207578836</ns0:v>
      </ns0:c>
      <ns0:c r="C34" s="75" t="n">
        <ns0:v>-0.07822046792655168</ns0:v>
      </ns0:c>
      <ns0:c r="D34" s="75" t="n">
        <ns0:v>-0.4620608800300002</ns0:v>
      </ns0:c>
      <ns0:c r="E34" s="75" t="n">
        <ns0:v>0.1113496296452187</ns0:v>
      </ns0:c>
      <ns0:c r="F34" s="75" t="n">
        <ns0:v>0.004754136060415337</ns0:v>
      </ns0:c>
      <ns0:c r="G34" s="75" t="n">
        <ns0:v>-0.2657165420621774</ns0:v>
      </ns0:c>
      <ns0:c r="H34" s="75" t="n">
        <ns0:v>-0.1614566710534275</ns0:v>
      </ns0:c>
      <ns0:c r="I34" s="75" t="n">
        <ns0:v>-0.1861492923496115</ns0:v>
      </ns0:c>
      <ns0:c r="J34" s="74" t="n">
        <ns0:v>-0.9346736125489489</ns0:v>
      </ns0:c>
      <ns0:c r="K34" s="75" t="n">
        <ns0:v>-0.1305530696122058</ns0:v>
      </ns0:c>
      <ns0:c r="L34" s="75" t="n">
        <ns0:v>-0.2172892089950982</ns0:v>
      </ns0:c>
      <ns0:c r="M34" s="75" t="n">
        <ns0:v>0.08396710129918362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-0.1184646657524761</ns0:v>
      </ns0:c>
      <ns0:c r="C35" s="75" t="n">
        <ns0:v>-0.06015360526470499</ns0:v>
      </ns0:c>
      <ns0:c r="D35" s="75" t="n">
        <ns0:v>0.003641891927641654</ns0:v>
      </ns0:c>
      <ns0:c r="E35" s="75" t="n">
        <ns0:v>-0.1082414203705304</ns0:v>
      </ns0:c>
      <ns0:c r="F35" s="75" t="n">
        <ns0:v>-0.01750228928101711</ns0:v>
      </ns0:c>
      <ns0:c r="G35" s="75" t="n">
        <ns0:v>0.04527869816150242</ns0:v>
      </ns0:c>
      <ns0:c r="H35" s="75" t="n">
        <ns0:v>-0.1077376721829534</ns0:v>
      </ns0:c>
      <ns0:c r="I35" s="75" t="n">
        <ns0:v>-0.04162356482136483</ns0:v>
      </ns0:c>
      <ns0:c r="J35" s="75" t="n">
        <ns0:v>-0.02117899926542284</ns0:v>
      </ns0:c>
      <ns0:c r="K35" s="74" t="n">
        <ns0:v>-0.5608989821293489</ns0:v>
      </ns0:c>
      <ns0:c r="L35" s="75" t="n">
        <ns0:v>-0.06008834937703209</ns0:v>
      </ns0:c>
      <ns0:c r="M35" s="75" t="n">
        <ns0:v>-0.003487128782179564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-0.2255246461968161</ns0:v>
      </ns0:c>
      <ns0:c r="C36" s="75" t="n">
        <ns0:v>0.1573559182083408</ns0:v>
      </ns0:c>
      <ns0:c r="D36" s="75" t="n">
        <ns0:v>-0.05964140549586402</ns0:v>
      </ns0:c>
      <ns0:c r="E36" s="75" t="n">
        <ns0:v>0.2652686192087848</ns0:v>
      </ns0:c>
      <ns0:c r="F36" s="75" t="n">
        <ns0:v>-0.09468280943116353</ns0:v>
      </ns0:c>
      <ns0:c r="G36" s="75" t="n">
        <ns0:v>-0.02790392587039284</ns0:v>
      </ns0:c>
      <ns0:c r="H36" s="75" t="n">
        <ns0:v>0.1577854268117253</ns0:v>
      </ns0:c>
      <ns0:c r="I36" s="75" t="n">
        <ns0:v>0.08155632774338754</ns0:v>
      </ns0:c>
      <ns0:c r="J36" s="75" t="n">
        <ns0:v>-0.1265529475353341</ns0:v>
      </ns0:c>
      <ns0:c r="K36" s="75" t="n">
        <ns0:v>-0.1944676038632702</ns0:v>
      </ns0:c>
      <ns0:c r="L36" s="74" t="n">
        <ns0:v>-0.8838161295774736</ns0:v>
      </ns0:c>
      <ns0:c r="M36" s="75" t="n">
        <ns0:v>0.08618452166979371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0.2169068325404092</ns0:v>
      </ns0:c>
      <ns0:c r="C37" s="75" t="n">
        <ns0:v>-0.1407470011047448</ns0:v>
      </ns0:c>
      <ns0:c r="D37" s="75" t="n">
        <ns0:v>-0.1678224374156585</ns0:v>
      </ns0:c>
      <ns0:c r="E37" s="75" t="n">
        <ns0:v>-0.3279309898324148</ns0:v>
      </ns0:c>
      <ns0:c r="F37" s="75" t="n">
        <ns0:v>-0.05089324248029209</ns0:v>
      </ns0:c>
      <ns0:c r="G37" s="75" t="n">
        <ns0:v>0.05578671094919693</ns0:v>
      </ns0:c>
      <ns0:c r="H37" s="75" t="n">
        <ns0:v>-0.1095195115449076</ns0:v>
      </ns0:c>
      <ns0:c r="I37" s="75" t="n">
        <ns0:v>-0.0334945289086343</ns0:v>
      </ns0:c>
      <ns0:c r="J37" s="75" t="n">
        <ns0:v>0.1808058968191083</ns0:v>
      </ns0:c>
      <ns0:c r="K37" s="75" t="n">
        <ns0:v>-0.04162149928254884</ns0:v>
      </ns0:c>
      <ns0:c r="L37" s="75" t="n">
        <ns0:v>0.01609349682169193</ns0:v>
      </ns0:c>
      <ns0:c r="M37" s="74" t="n">
        <ns0:v>-0.4561892442100648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-1.079994310837467</ns0:v>
      </ns0:c>
      <ns0:c r="C42" s="78" t="n">
        <ns0:v>0.002702568804463545</ns0:v>
      </ns0:c>
      <ns0:c r="D42" s="78" t="n">
        <ns0:v>-0.1188018454054834</ns0:v>
      </ns0:c>
      <ns0:c r="E42" s="78" t="n">
        <ns0:v>0.01936405188061198</ns0:v>
      </ns0:c>
      <ns0:c r="F42" s="78" t="n">
        <ns0:v>-0.02945652645691089</ns0:v>
      </ns0:c>
      <ns0:c r="G42" s="78" t="n">
        <ns0:v>-0.08266109124447572</ns0:v>
      </ns0:c>
      <ns0:c r="H42" s="78" t="n">
        <ns0:v>-0.1019572351088316</ns0:v>
      </ns0:c>
      <ns0:c r="I42" s="78" t="n">
        <ns0:v>-0.03204001004397251</ns0:v>
      </ns0:c>
      <ns0:c r="J42" s="78" t="n">
        <ns0:v>-0.007958507904492098</ns0:v>
      </ns0:c>
      <ns0:c r="K42" s="78" t="n">
        <ns0:v>-0.09024966448288506</ns0:v>
      </ns0:c>
      <ns0:c r="L42" s="78" t="n">
        <ns0:v>-0.128791118063443</ns0:v>
      </ns0:c>
      <ns0:c r="M42" s="78" t="n">
        <ns0:v>0.04459663062430576</ns0:v>
      </ns0:c>
    </ns0:row>
    <ns0:row r="43" ht="30" customHeight="1">
      <ns0:c r="A43" s="73" t="inlineStr">
        <ns0:is>
          <ns0:t>نان و غلات</ns0:t>
        </ns0:is>
      </ns0:c>
      <ns0:c r="B43" s="78" t="n">
        <ns0:v>0.1344504030951769</ns0:v>
      </ns0:c>
      <ns0:c r="C43" s="77" t="n">
        <ns0:v>-0.608219627575169</ns0:v>
      </ns0:c>
      <ns0:c r="D43" s="78" t="n">
        <ns0:v>0.2769306054557932</ns0:v>
      </ns0:c>
      <ns0:c r="E43" s="78" t="n">
        <ns0:v>-0.1190056016647318</ns0:v>
      </ns0:c>
      <ns0:c r="F43" s="78" t="n">
        <ns0:v>-0.0125772132866619</ns0:v>
      </ns0:c>
      <ns0:c r="G43" s="78" t="n">
        <ns0:v>0.04149840374565223</ns0:v>
      </ns0:c>
      <ns0:c r="H43" s="78" t="n">
        <ns0:v>-0.07454762578810058</ns0:v>
      </ns0:c>
      <ns0:c r="I43" s="78" t="n">
        <ns0:v>0.04771414747895899</ns0:v>
      </ns0:c>
      <ns0:c r="J43" s="78" t="n">
        <ns0:v>0.03588257652671323</ns0:v>
      </ns0:c>
      <ns0:c r="K43" s="78" t="n">
        <ns0:v>0.0002365884345521363</ns0:v>
      </ns0:c>
      <ns0:c r="L43" s="78" t="n">
        <ns0:v>0.1085987339842417</ns0:v>
      </ns0:c>
      <ns0:c r="M43" s="78" t="n">
        <ns0:v>-0.03569223669452692</ns0:v>
      </ns0:c>
    </ns0:row>
    <ns0:row r="44" ht="30" customHeight="1">
      <ns0:c r="A44" s="73" t="inlineStr">
        <ns0:is>
          <ns0:t>گوشت</ns0:t>
        </ns0:is>
      </ns0:c>
      <ns0:c r="B44" s="78" t="n">
        <ns0:v>-0.002037595738819986</ns0:v>
      </ns0:c>
      <ns0:c r="C44" s="78" t="n">
        <ns0:v>0.01944317085290568</ns0:v>
      </ns0:c>
      <ns0:c r="D44" s="77" t="n">
        <ns0:v>-0.9388046073106465</ns0:v>
      </ns0:c>
      <ns0:c r="E44" s="78" t="n">
        <ns0:v>-0.01945009515410355</ns0:v>
      </ns0:c>
      <ns0:c r="F44" s="78" t="n">
        <ns0:v>-0.07059629152363424</ns0:v>
      </ns0:c>
      <ns0:c r="G44" s="78" t="n">
        <ns0:v>-0.004897065566452894</ns0:v>
      </ns0:c>
      <ns0:c r="H44" s="78" t="n">
        <ns0:v>-0.09146181360184108</ns0:v>
      </ns0:c>
      <ns0:c r="I44" s="78" t="n">
        <ns0:v>-0.02081707509837045</ns0:v>
      </ns0:c>
      <ns0:c r="J44" s="78" t="n">
        <ns0:v>-0.0359687432943818</ns0:v>
      </ns0:c>
      <ns0:c r="K44" s="78" t="n">
        <ns0:v>-0.004508026967873203</ns0:v>
      </ns0:c>
      <ns0:c r="L44" s="78" t="n">
        <ns0:v>-0.04529309429236956</ns0:v>
      </ns0:c>
      <ns0:c r="M44" s="78" t="n">
        <ns0:v>-0.04474362240520076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0.1127585203267873</ns0:v>
      </ns0:c>
      <ns0:c r="C45" s="78" t="n">
        <ns0:v>-0.1778431692111178</ns0:v>
      </ns0:c>
      <ns0:c r="D45" s="78" t="n">
        <ns0:v>0.06306722342441104</ns0:v>
      </ns0:c>
      <ns0:c r="E45" s="77" t="n">
        <ns0:v>-0.7865462960392049</ns0:v>
      </ns0:c>
      <ns0:c r="F45" s="78" t="n">
        <ns0:v>-0.01332058446003735</ns0:v>
      </ns0:c>
      <ns0:c r="G45" s="78" t="n">
        <ns0:v>0.03606787179853883</ns0:v>
      </ns0:c>
      <ns0:c r="H45" s="78" t="n">
        <ns0:v>-0.1497891781274628</ns0:v>
      </ns0:c>
      <ns0:c r="I45" s="78" t="n">
        <ns0:v>0.04603061358375499</ns0:v>
      </ns0:c>
      <ns0:c r="J45" s="78" t="n">
        <ns0:v>0.1063564494609445</ns0:v>
      </ns0:c>
      <ns0:c r="K45" s="78" t="n">
        <ns0:v>-0.05154879017916036</ns0:v>
      </ns0:c>
      <ns0:c r="L45" s="78" t="n">
        <ns0:v>0.1136273265344389</ns0:v>
      </ns0:c>
      <ns0:c r="M45" s="78" t="n">
        <ns0:v>-0.1166742445909812</ns0:v>
      </ns0:c>
    </ns0:row>
    <ns0:row r="46" ht="30" customHeight="1">
      <ns0:c r="A46" s="73" t="inlineStr">
        <ns0:is>
          <ns0:t>روغن و چربی</ns0:t>
        </ns0:is>
      </ns0:c>
      <ns0:c r="B46" s="78" t="n">
        <ns0:v>0.0184236357428497</ns0:v>
      </ns0:c>
      <ns0:c r="C46" s="78" t="n">
        <ns0:v>-0.1050698458640219</ns0:v>
      </ns0:c>
      <ns0:c r="D46" s="78" t="n">
        <ns0:v>-0.2214823042510473</ns0:v>
      </ns0:c>
      <ns0:c r="E46" s="78" t="n">
        <ns0:v>0.06895480929768417</ns0:v>
      </ns0:c>
      <ns0:c r="F46" s="77" t="n">
        <ns0:v>-0.4233868588641445</ns0:v>
      </ns0:c>
      <ns0:c r="G46" s="78" t="n">
        <ns0:v>-0.05480732007148857</ns0:v>
      </ns0:c>
      <ns0:c r="H46" s="78" t="n">
        <ns0:v>-0.1171629034479693</ns0:v>
      </ns0:c>
      <ns0:c r="I46" s="78" t="n">
        <ns0:v>-0.1234086497513347</ns0:v>
      </ns0:c>
      <ns0:c r="J46" s="78" t="n">
        <ns0:v>0.03396874200347068</ns0:v>
      </ns0:c>
      <ns0:c r="K46" s="78" t="n">
        <ns0:v>-0.01472934131328153</ns0:v>
      </ns0:c>
      <ns0:c r="L46" s="78" t="n">
        <ns0:v>-0.09338972825072631</ns0:v>
      </ns0:c>
      <ns0:c r="M46" s="78" t="n">
        <ns0:v>-0.02490720119258475</ns0:v>
      </ns0:c>
    </ns0:row>
    <ns0:row r="47" ht="30" customHeight="1">
      <ns0:c r="A47" s="73" t="inlineStr">
        <ns0:is>
          <ns0:t>میوه</ns0:t>
        </ns0:is>
      </ns0:c>
      <ns0:c r="B47" s="78" t="n">
        <ns0:v>-0.1566984452500733</ns0:v>
      </ns0:c>
      <ns0:c r="C47" s="78" t="n">
        <ns0:v>-0.01176693315824232</ns0:v>
      </ns0:c>
      <ns0:c r="D47" s="78" t="n">
        <ns0:v>-0.01090695378441045</ns0:v>
      </ns0:c>
      <ns0:c r="E47" s="78" t="n">
        <ns0:v>0.04289768755867004</ns0:v>
      </ns0:c>
      <ns0:c r="F47" s="78" t="n">
        <ns0:v>-0.09607336758972022</ns0:v>
      </ns0:c>
      <ns0:c r="G47" s="77" t="n">
        <ns0:v>-1.073589495866218</ns0:v>
      </ns0:c>
      <ns0:c r="H47" s="78" t="n">
        <ns0:v>0.1098057807649858</ns0:v>
      </ns0:c>
      <ns0:c r="I47" s="78" t="n">
        <ns0:v>-0.05220634176173808</ns0:v>
      </ns0:c>
      <ns0:c r="J47" s="78" t="n">
        <ns0:v>-0.1920988306469353</ns0:v>
      </ns0:c>
      <ns0:c r="K47" s="78" t="n">
        <ns0:v>0.04455640567497379</ns0:v>
      </ns0:c>
      <ns0:c r="L47" s="78" t="n">
        <ns0:v>-0.02814648561785573</ns0:v>
      </ns0:c>
      <ns0:c r="M47" s="78" t="n">
        <ns0:v>0.0229739503711537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-0.009081685492468542</ns0:v>
      </ns0:c>
      <ns0:c r="C48" s="78" t="n">
        <ns0:v>-0.1143435978003358</ns0:v>
      </ns0:c>
      <ns0:c r="D48" s="78" t="n">
        <ns0:v>-0.05173730880360785</ns0:v>
      </ns0:c>
      <ns0:c r="E48" s="78" t="n">
        <ns0:v>-0.1272199551423978</ns0:v>
      </ns0:c>
      <ns0:c r="F48" s="78" t="n">
        <ns0:v>-0.003336537521323831</ns0:v>
      </ns0:c>
      <ns0:c r="G48" s="78" t="n">
        <ns0:v>0.05050920457779595</ns0:v>
      </ns0:c>
      <ns0:c r="H48" s="77" t="n">
        <ns0:v>-0.469979500627576</ns0:v>
      </ns0:c>
      <ns0:c r="I48" s="78" t="n">
        <ns0:v>0.004495473879252944</ns0:v>
      </ns0:c>
      <ns0:c r="J48" s="78" t="n">
        <ns0:v>0.006441359385783988</ns0:v>
      </ns0:c>
      <ns0:c r="K48" s="78" t="n">
        <ns0:v>-0.06127451082133866</ns0:v>
      </ns0:c>
      <ns0:c r="L48" s="78" t="n">
        <ns0:v>0.05996929915012331</ns0:v>
      </ns0:c>
      <ns0:c r="M48" s="78" t="n">
        <ns0:v>-0.01847952437147142</ns0:v>
      </ns0:c>
    </ns0:row>
    <ns0:row r="49" ht="30" customHeight="1">
      <ns0:c r="A49" s="73" t="inlineStr">
        <ns0:is>
          <ns0:t>حبوبات</ns0:t>
        </ns0:is>
      </ns0:c>
      <ns0:c r="B49" s="78" t="n">
        <ns0:v>-0.07882746498123515</ns0:v>
      </ns0:c>
      <ns0:c r="C49" s="78" t="n">
        <ns0:v>-0.01685746317828516</ns0:v>
      </ns0:c>
      <ns0:c r="D49" s="78" t="n">
        <ns0:v>-0.01081867372150184</ns0:v>
      </ns0:c>
      <ns0:c r="E49" s="78" t="n">
        <ns0:v>0.2076300590249979</ns0:v>
      </ns0:c>
      <ns0:c r="F49" s="78" t="n">
        <ns0:v>-0.1126701273621754</ns0:v>
      </ns0:c>
      <ns0:c r="G49" s="78" t="n">
        <ns0:v>-0.06969489792785311</ns0:v>
      </ns0:c>
      <ns0:c r="H49" s="78" t="n">
        <ns0:v>-0.1484303709226456</ns0:v>
      </ns0:c>
      <ns0:c r="I49" s="77" t="n">
        <ns0:v>-0.7275020034947406</ns0:v>
      </ns0:c>
      <ns0:c r="J49" s="78" t="n">
        <ns0:v>-0.1084296054241805</ns0:v>
      </ns0:c>
      <ns0:c r="K49" s="78" t="n">
        <ns0:v>-0.1751734967133288</ns0:v>
      </ns0:c>
      <ns0:c r="L49" s="78" t="n">
        <ns0:v>0.01328841461691755</ns0:v>
      </ns0:c>
      <ns0:c r="M49" s="78" t="n">
        <ns0:v>-0.004130172389195365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-0.12588791326594</ns0:v>
      </ns0:c>
      <ns0:c r="C50" s="78" t="n">
        <ns0:v>0.01323697163573875</ns0:v>
      </ns0:c>
      <ns0:c r="D50" s="78" t="n">
        <ns0:v>-0.3139999775528979</ns0:v>
      </ns0:c>
      <ns0:c r="E50" s="78" t="n">
        <ns0:v>0.2277500197345423</ns0:v>
      </ns0:c>
      <ns0:c r="F50" s="78" t="n">
        <ns0:v>0.01973054777579813</ns0:v>
      </ns0:c>
      <ns0:c r="G50" s="78" t="n">
        <ns0:v>-0.2361864041409777</ns0:v>
      </ns0:c>
      <ns0:c r="H50" s="78" t="n">
        <ns0:v>-0.08589804439324572</ns0:v>
      </ns0:c>
      <ns0:c r="I50" s="78" t="n">
        <ns0:v>-0.1413999985860702</ns0:v>
      </ns0:c>
      <ns0:c r="J50" s="77" t="n">
        <ns0:v>-0.9562615718113364</ns0:v>
      </ns0:c>
      <ns0:c r="K50" s="78" t="n">
        <ns0:v>-0.0960791005753017</ns0:v>
      </ns0:c>
      <ns0:c r="L50" s="78" t="n">
        <ns0:v>-0.1730418284598184</ns0:v>
      </ns0:c>
      <ns0:c r="M50" s="78" t="n">
        <ns0:v>0.09717111694755261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-0.1050220997353173</ns0:v>
      </ns0:c>
      <ns0:c r="C51" s="78" t="n">
        <ns0:v>-0.06131546035102919</ns0:v>
      </ns0:c>
      <ns0:c r="D51" s="78" t="n">
        <ns0:v>0.002267798439007443</ns0:v>
      </ns0:c>
      <ns0:c r="E51" s="78" t="n">
        <ns0:v>-0.1057125853855729</ns0:v>
      </ns0:c>
      <ns0:c r="F51" s="78" t="n">
        <ns0:v>-0.005443589197108656</ns0:v>
      </ns0:c>
      <ns0:c r="G51" s="78" t="n">
        <ns0:v>0.04745371394477212</ns0:v>
      </ns0:c>
      <ns0:c r="H51" s="78" t="n">
        <ns0:v>-0.105730823088164</ns0:v>
      </ns0:c>
      <ns0:c r="I51" s="78" t="n">
        <ns0:v>-0.0362536532071538</ns0:v>
      </ns0:c>
      <ns0:c r="J51" s="78" t="n">
        <ns0:v>-0.0325069221402794</ns0:v>
      </ns0:c>
      <ns0:c r="K51" s="77" t="n">
        <ns0:v>-0.5577614303976242</ns0:v>
      </ns0:c>
      <ns0:c r="L51" s="78" t="n">
        <ns0:v>-0.06143066384039147</ns0:v>
      </ns0:c>
      <ns0:c r="M51" s="78" t="n">
        <ns0:v>-0.00539429533695716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-0.2473734441674848</ns0:v>
      </ns0:c>
      <ns0:c r="C52" s="78" t="n">
        <ns0:v>0.1357915758760101</ns0:v>
      </ns0:c>
      <ns0:c r="D52" s="78" t="n">
        <ns0:v>-0.09483417230852881</ns0:v>
      </ns0:c>
      <ns0:c r="E52" s="78" t="n">
        <ns0:v>0.2335157082886369</ns0:v>
      </ns0:c>
      <ns0:c r="F52" s="78" t="n">
        <ns0:v>-0.1015323075091079</ns0:v>
      </ns0:c>
      <ns0:c r="G52" s="78" t="n">
        <ns0:v>-0.03645978080299802</ns0:v>
      </ns0:c>
      <ns0:c r="H52" s="78" t="n">
        <ns0:v>0.1315913884537924</ns0:v>
      </ns0:c>
      <ns0:c r="I52" s="78" t="n">
        <ns0:v>0.06692039950764155</ns0:v>
      </ns0:c>
      <ns0:c r="J52" s="78" t="n">
        <ns0:v>-0.1177696217284323</ns0:v>
      </ns0:c>
      <ns0:c r="K52" s="78" t="n">
        <ns0:v>-0.2048239282092074</ns0:v>
      </ns0:c>
      <ns0:c r="L52" s="77" t="n">
        <ns0:v>-0.8939452411903939</ns0:v>
      </ns0:c>
      <ns0:c r="M52" s="78" t="n">
        <ns0:v>0.07750038803842427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0.2270122793235778</ns0:v>
      </ns0:c>
      <ns0:c r="C53" s="78" t="n">
        <ns0:v>-0.1131794484870032</ns0:v>
      </ns0:c>
      <ns0:c r="D53" s="78" t="n">
        <ns0:v>-0.1377511441111609</ns0:v>
      </ns0:c>
      <ns0:c r="E53" s="78" t="n">
        <ns0:v>-0.2998236219407159</ns0:v>
      </ns0:c>
      <ns0:c r="F53" s="78" t="n">
        <ns0:v>-0.04855969759311957</ns0:v>
      </ns0:c>
      <ns0:c r="G53" s="78" t="n">
        <ns0:v>0.06113709898591366</ns0:v>
      </ns0:c>
      <ns0:c r="H53" s="78" t="n">
        <ns0:v>-0.08635681540591833</ns0:v>
      </ns0:c>
      <ns0:c r="I53" s="78" t="n">
        <ns0:v>-0.02858013720552637</ns0:v>
      </ns0:c>
      <ns0:c r="J53" s="78" t="n">
        <ns0:v>0.1722169806510915</ns0:v>
      </ns0:c>
      <ns0:c r="K53" s="78" t="n">
        <ns0:v>-0.03079644739075361</ns0:v>
      </ns0:c>
      <ns0:c r="L53" s="78" t="n">
        <ns0:v>0.02259619289181272</ns0:v>
      </ns0:c>
      <ns0:c r="M53" s="77" t="n">
        <ns0:v>-0.4547380373944138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19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کوهرت 1399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-1.0808</ns0:v>
      </ns0:c>
      <ns0:c r="C6" s="69" t="n">
        <ns0:v>-1.0791</ns0:v>
      </ns0:c>
      <ns0:c r="D6" s="70" t="n">
        <ns0:v>1.5658</ns0:v>
      </ns0:c>
      <ns0:c r="E6" s="69" t="n">
        <ns0:v>1.6206</ns0:v>
      </ns0:c>
    </ns0:row>
    <ns0:row r="7" ht="23" customHeight="1">
      <ns0:c r="A7" s="28" t="inlineStr">
        <ns0:is>
          <ns0:t>نان و غلات</ns0:t>
        </ns0:is>
      </ns0:c>
      <ns0:c r="B7" s="68" t="n">
        <ns0:v>-0.618</ns0:v>
      </ns0:c>
      <ns0:c r="C7" s="69" t="n">
        <ns0:v>-0.5788</ns0:v>
      </ns0:c>
      <ns0:c r="D7" s="70" t="n">
        <ns0:v>0.2718</ns0:v>
      </ns0:c>
      <ns0:c r="E7" s="69" t="n">
        <ns0:v>0.1433</ns0:v>
      </ns0:c>
    </ns0:row>
    <ns0:row r="8" ht="23" customHeight="1">
      <ns0:c r="A8" s="28" t="inlineStr">
        <ns0:is>
          <ns0:t>گوشت</ns0:t>
        </ns0:is>
      </ns0:c>
      <ns0:c r="B8" s="68" t="n">
        <ns0:v>-0.927</ns0:v>
      </ns0:c>
      <ns0:c r="C8" s="69" t="n">
        <ns0:v>-0.9379</ns0:v>
      </ns0:c>
      <ns0:c r="D8" s="70" t="n">
        <ns0:v>1.2487</ns0:v>
      </ns0:c>
      <ns0:c r="E8" s="69" t="n">
        <ns0:v>1.2695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-0.8123</ns0:v>
      </ns0:c>
      <ns0:c r="C9" s="69" t="n">
        <ns0:v>-0.806</ns0:v>
      </ns0:c>
      <ns0:c r="D9" s="70" t="n">
        <ns0:v>0.8609</ns0:v>
      </ns0:c>
      <ns0:c r="E9" s="69" t="n">
        <ns0:v>0.8384</ns0:v>
      </ns0:c>
    </ns0:row>
    <ns0:row r="10" ht="23" customHeight="1">
      <ns0:c r="A10" s="28" t="inlineStr">
        <ns0:is>
          <ns0:t>روغن و چربی</ns0:t>
        </ns0:is>
      </ns0:c>
      <ns0:c r="B10" s="68" t="n">
        <ns0:v>-0.4985</ns0:v>
      </ns0:c>
      <ns0:c r="C10" s="69" t="n">
        <ns0:v>-0.4976</ns0:v>
      </ns0:c>
      <ns0:c r="D10" s="70" t="n">
        <ns0:v>0.7654</ns0:v>
      </ns0:c>
      <ns0:c r="E10" s="69" t="n">
        <ns0:v>1.0502</ns0:v>
      </ns0:c>
    </ns0:row>
    <ns0:row r="11" ht="23" customHeight="1">
      <ns0:c r="A11" s="28" t="inlineStr">
        <ns0:is>
          <ns0:t>میوه</ns0:t>
        </ns0:is>
      </ns0:c>
      <ns0:c r="B11" s="68" t="n">
        <ns0:v>-1.0759</ns0:v>
      </ns0:c>
      <ns0:c r="C11" s="69" t="n">
        <ns0:v>-1.0707</ns0:v>
      </ns0:c>
      <ns0:c r="D11" s="70" t="n">
        <ns0:v>1.3684</ns0:v>
      </ns0:c>
      <ns0:c r="E11" s="69" t="n">
        <ns0:v>1.3867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-0.4952</ns0:v>
      </ns0:c>
      <ns0:c r="C12" s="69" t="n">
        <ns0:v>-0.4835</ns0:v>
      </ns0:c>
      <ns0:c r="D12" s="70" t="n">
        <ns0:v>0.7809</ns0:v>
      </ns0:c>
      <ns0:c r="E12" s="69" t="n">
        <ns0:v>0.7238</ns0:v>
      </ns0:c>
    </ns0:row>
    <ns0:row r="13" ht="23" customHeight="1">
      <ns0:c r="A13" s="28" t="inlineStr">
        <ns0:is>
          <ns0:t>حبوبات</ns0:t>
        </ns0:is>
      </ns0:c>
      <ns0:c r="B13" s="68" t="n">
        <ns0:v>-0.704</ns0:v>
      </ns0:c>
      <ns0:c r="C13" s="69" t="n">
        <ns0:v>-0.7282</ns0:v>
      </ns0:c>
      <ns0:c r="D13" s="70" t="n">
        <ns0:v>1.0277</ns0:v>
      </ns0:c>
      <ns0:c r="E13" s="69" t="n">
        <ns0:v>1.2906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-0.9350000000000001</ns0:v>
      </ns0:c>
      <ns0:c r="C14" s="69" t="n">
        <ns0:v>-0.9527</ns0:v>
      </ns0:c>
      <ns0:c r="D14" s="70" t="n">
        <ns0:v>2.2863</ns0:v>
      </ns0:c>
      <ns0:c r="E14" s="69" t="n">
        <ns0:v>1.6453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-0.5628</ns0:v>
      </ns0:c>
      <ns0:c r="C15" s="69" t="n">
        <ns0:v>-0.5598</ns0:v>
      </ns0:c>
      <ns0:c r="D15" s="70" t="n">
        <ns0:v>1.031</ns0:v>
      </ns0:c>
      <ns0:c r="E15" s="69" t="n">
        <ns0:v>0.9955000000000001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-0.8802</ns0:v>
      </ns0:c>
      <ns0:c r="C16" s="69" t="n">
        <ns0:v>-0.8905999999999999</ns0:v>
      </ns0:c>
      <ns0:c r="D16" s="70" t="n">
        <ns0:v>0.9687</ns0:v>
      </ns0:c>
      <ns0:c r="E16" s="69" t="n">
        <ns0:v>1.1724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-0.4227</ns0:v>
      </ns0:c>
      <ns0:c r="C17" s="69" t="n">
        <ns0:v>-0.4204</ns0:v>
      </ns0:c>
      <ns0:c r="D17" s="70" t="n">
        <ns0:v>0.8598</ns0:v>
      </ns0:c>
      <ns0:c r="E17" s="69" t="n">
        <ns0:v>0.7028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-1.080796889936144</ns0:v>
      </ns0:c>
      <ns0:c r="C26" s="75" t="n">
        <ns0:v>0.02188479262282054</ns0:v>
      </ns0:c>
      <ns0:c r="D26" s="75" t="n">
        <ns0:v>-0.1024733345362375</ns0:v>
      </ns0:c>
      <ns0:c r="E26" s="75" t="n">
        <ns0:v>0.02232620401862919</ns0:v>
      </ns0:c>
      <ns0:c r="F26" s="75" t="n">
        <ns0:v>-0.03711233459358809</ns0:v>
      </ns0:c>
      <ns0:c r="G26" s="75" t="n">
        <ns0:v>-0.08225222305326889</ns0:v>
      </ns0:c>
      <ns0:c r="H26" s="75" t="n">
        <ns0:v>-0.0949915614452599</ns0:v>
      </ns0:c>
      <ns0:c r="I26" s="75" t="n">
        <ns0:v>-0.02998351101314452</ns0:v>
      </ns0:c>
      <ns0:c r="J26" s="75" t="n">
        <ns0:v>-0.01081750262167891</ns0:v>
      </ns0:c>
      <ns0:c r="K26" s="75" t="n">
        <ns0:v>-0.09131699237076663</ns0:v>
      </ns0:c>
      <ns0:c r="L26" s="75" t="n">
        <ns0:v>-0.1251838535238386</ns0:v>
      </ns0:c>
      <ns0:c r="M26" s="75" t="n">
        <ns0:v>0.04996262631133114</ns0:v>
      </ns0:c>
    </ns0:row>
    <ns0:row r="27" ht="30" customHeight="1">
      <ns0:c r="A27" s="73" t="inlineStr">
        <ns0:is>
          <ns0:t>نان و غلات</ns0:t>
        </ns0:is>
      </ns0:c>
      <ns0:c r="B27" s="75" t="n">
        <ns0:v>0.1433153098888201</ns0:v>
      </ns0:c>
      <ns0:c r="C27" s="74" t="n">
        <ns0:v>-0.6179887270291013</ns0:v>
      </ns0:c>
      <ns0:c r="D27" s="75" t="n">
        <ns0:v>0.2690598784767353</ns0:v>
      </ns0:c>
      <ns0:c r="E27" s="75" t="n">
        <ns0:v>-0.1332468377818778</ns0:v>
      </ns0:c>
      <ns0:c r="F27" s="75" t="n">
        <ns0:v>0.01160143451904419</ns0:v>
      </ns0:c>
      <ns0:c r="G27" s="75" t="n">
        <ns0:v>0.0411980292596904</ns0:v>
      </ns0:c>
      <ns0:c r="H27" s="75" t="n">
        <ns0:v>-0.0891856196740812</ns0:v>
      </ns0:c>
      <ns0:c r="I27" s="75" t="n">
        <ns0:v>0.04630776562350362</ns0:v>
      </ns0:c>
      <ns0:c r="J27" s="75" t="n">
        <ns0:v>0.02761108682732808</ns0:v>
      </ns0:c>
      <ns0:c r="K27" s="75" t="n">
        <ns0:v>0.001165792131024871</ns0:v>
      </ns0:c>
      <ns0:c r="L27" s="75" t="n">
        <ns0:v>0.1046395984360517</ns0:v>
      </ns0:c>
      <ns0:c r="M27" s="75" t="n">
        <ns0:v>-0.04895232542734555</ns0:v>
      </ns0:c>
    </ns0:row>
    <ns0:row r="28" ht="30" customHeight="1">
      <ns0:c r="A28" s="73" t="inlineStr">
        <ns0:is>
          <ns0:t>گوشت</ns0:t>
        </ns0:is>
      </ns0:c>
      <ns0:c r="B28" s="75" t="n">
        <ns0:v>0.002189895200169196</ns0:v>
      </ns0:c>
      <ns0:c r="C28" s="75" t="n">
        <ns0:v>0.02437355938653949</ns0:v>
      </ns0:c>
      <ns0:c r="D28" s="74" t="n">
        <ns0:v>-0.9269502039491476</ns0:v>
      </ns0:c>
      <ns0:c r="E28" s="75" t="n">
        <ns0:v>-0.01838089820997413</ns0:v>
      </ns0:c>
      <ns0:c r="F28" s="75" t="n">
        <ns0:v>-0.08411857725979982</ns0:v>
      </ns0:c>
      <ns0:c r="G28" s="75" t="n">
        <ns0:v>-0.006150860818905425</ns0:v>
      </ns0:c>
      <ns0:c r="H28" s="75" t="n">
        <ns0:v>-0.09334301864775506</ns0:v>
      </ns0:c>
      <ns0:c r="I28" s="75" t="n">
        <ns0:v>-0.02126164736955605</ns0:v>
      </ns0:c>
      <ns0:c r="J28" s="75" t="n">
        <ns0:v>-0.03634100865211676</ns0:v>
      </ns0:c>
      <ns0:c r="K28" s="75" t="n">
        <ns0:v>0.001175291392562133</ns0:v>
      </ns0:c>
      <ns0:c r="L28" s="75" t="n">
        <ns0:v>-0.04731291459166542</ns0:v>
      </ns0:c>
      <ns0:c r="M28" s="75" t="n">
        <ns0:v>-0.04392333149609123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0.09902469495503959</ns0:v>
      </ns0:c>
      <ns0:c r="C29" s="75" t="n">
        <ns0:v>-0.1678422350179278</ns0:v>
      </ns0:c>
      <ns0:c r="D29" s="75" t="n">
        <ns0:v>0.0560023032490355</ns0:v>
      </ns0:c>
      <ns0:c r="E29" s="74" t="n">
        <ns0:v>-0.8123107244615801</ns0:v>
      </ns0:c>
      <ns0:c r="F29" s="75" t="n">
        <ns0:v>0.00326570355592864</ns0:v>
      </ns0:c>
      <ns0:c r="G29" s="75" t="n">
        <ns0:v>0.03244754082700787</ns0:v>
      </ns0:c>
      <ns0:c r="H29" s="75" t="n">
        <ns0:v>-0.1391668133597753</ns0:v>
      </ns0:c>
      <ns0:c r="I29" s="75" t="n">
        <ns0:v>0.0413489021480411</ns0:v>
      </ns0:c>
      <ns0:c r="J29" s="75" t="n">
        <ns0:v>0.08037850781236971</ns0:v>
      </ns0:c>
      <ns0:c r="K29" s="75" t="n">
        <ns0:v>-0.04235683727199956</ns0:v>
      </ns0:c>
      <ns0:c r="L29" s="75" t="n">
        <ns0:v>0.1023332858387151</ns0:v>
      </ns0:c>
      <ns0:c r="M29" s="75" t="n">
        <ns0:v>-0.1098638874097755</ns0:v>
      </ns0:c>
    </ns0:row>
    <ns0:row r="30" ht="30" customHeight="1">
      <ns0:c r="A30" s="73" t="inlineStr">
        <ns0:is>
          <ns0:t>روغن و چربی</ns0:t>
        </ns0:is>
      </ns0:c>
      <ns0:c r="B30" s="75" t="n">
        <ns0:v>0.01785666748408771</ns0:v>
      </ns0:c>
      <ns0:c r="C30" s="75" t="n">
        <ns0:v>-0.03644079767203377</ns0:v>
      </ns0:c>
      <ns0:c r="D30" s="75" t="n">
        <ns0:v>-0.1699781595508496</ns0:v>
      </ns0:c>
      <ns0:c r="E30" s="75" t="n">
        <ns0:v>0.1321159380978292</ns0:v>
      </ns0:c>
      <ns0:c r="F30" s="74" t="n">
        <ns0:v>-0.4984868032815349</ns0:v>
      </ns0:c>
      <ns0:c r="G30" s="75" t="n">
        <ns0:v>-0.03795560695354801</ns0:v>
      </ns0:c>
      <ns0:c r="H30" s="75" t="n">
        <ns0:v>-0.06374665625762035</ns0:v>
      </ns0:c>
      <ns0:c r="I30" s="75" t="n">
        <ns0:v>-0.1006167720926514</ns0:v>
      </ns0:c>
      <ns0:c r="J30" s="75" t="n">
        <ns0:v>0.05376438692672719</ns0:v>
      </ns0:c>
      <ns0:c r="K30" s="75" t="n">
        <ns0:v>-0.01085581888793058</ns0:v>
      </ns0:c>
      <ns0:c r="L30" s="75" t="n">
        <ns0:v>-0.07083462968025687</ns0:v>
      </ns0:c>
      <ns0:c r="M30" s="75" t="n">
        <ns0:v>-0.005666381452908612</ns0:v>
      </ns0:c>
    </ns0:row>
    <ns0:row r="31" ht="30" customHeight="1">
      <ns0:c r="A31" s="73" t="inlineStr">
        <ns0:is>
          <ns0:t>میوه</ns0:t>
        </ns0:is>
      </ns0:c>
      <ns0:c r="B31" s="75" t="n">
        <ns0:v>-0.1579069435110882</ns0:v>
      </ns0:c>
      <ns0:c r="C31" s="75" t="n">
        <ns0:v>-0.004713128242273317</ns0:v>
      </ns0:c>
      <ns0:c r="D31" s="75" t="n">
        <ns0:v>-0.01615428076024041</ns0:v>
      </ns0:c>
      <ns0:c r="E31" s="75" t="n">
        <ns0:v>0.04557151660186619</ns0:v>
      </ns0:c>
      <ns0:c r="F31" s="75" t="n">
        <ns0:v>-0.0928408691842507</ns0:v>
      </ns0:c>
      <ns0:c r="G31" s="74" t="n">
        <ns0:v>-1.075926154165374</ns0:v>
      </ns0:c>
      <ns0:c r="H31" s="75" t="n">
        <ns0:v>0.1187644961586844</ns0:v>
      </ns0:c>
      <ns0:c r="I31" s="75" t="n">
        <ns0:v>-0.0516928413045677</ns0:v>
      </ns0:c>
      <ns0:c r="J31" s="75" t="n">
        <ns0:v>-0.1914780549446251</ns0:v>
      </ns0:c>
      <ns0:c r="K31" s="75" t="n">
        <ns0:v>0.04794561514773012</ns0:v>
      </ns0:c>
      <ns0:c r="L31" s="75" t="n">
        <ns0:v>-0.02984693260813658</ns0:v>
      </ns0:c>
      <ns0:c r="M31" s="75" t="n">
        <ns0:v>0.02653377376372443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-0.009614158978444004</ns0:v>
      </ns0:c>
      <ns0:c r="C32" s="75" t="n">
        <ns0:v>-0.1225152547312331</ns0:v>
      </ns0:c>
      <ns0:c r="D32" s="75" t="n">
        <ns0:v>-0.06271207663461376</ns0:v>
      </ns0:c>
      <ns0:c r="E32" s="75" t="n">
        <ns0:v>-0.1289248085211436</ns0:v>
      </ns0:c>
      <ns0:c r="F32" s="75" t="n">
        <ns0:v>-0.002241176713038232</ns0:v>
      </ns0:c>
      <ns0:c r="G32" s="75" t="n">
        <ns0:v>0.04646350726277396</ns0:v>
      </ns0:c>
      <ns0:c r="H32" s="74" t="n">
        <ns0:v>-0.4952459037749941</ns0:v>
      </ns0:c>
      <ns0:c r="I32" s="75" t="n">
        <ns0:v>4.33168791588389e-05</ns0:v>
      </ns0:c>
      <ns0:c r="J32" s="75" t="n">
        <ns0:v>0.01092278203402687</ns0:v>
      </ns0:c>
      <ns0:c r="K32" s="75" t="n">
        <ns0:v>-0.06736062655265267</ns0:v>
      </ns0:c>
      <ns0:c r="L32" s="75" t="n">
        <ns0:v>0.05614476077520431</ns0:v>
      </ns0:c>
      <ns0:c r="M32" s="75" t="n">
        <ns0:v>-0.02566839745595926</ns0:v>
      </ns0:c>
    </ns0:row>
    <ns0:row r="33" ht="30" customHeight="1">
      <ns0:c r="A33" s="73" t="inlineStr">
        <ns0:is>
          <ns0:t>حبوبات</ns0:t>
        </ns0:is>
      </ns0:c>
      <ns0:c r="B33" s="75" t="n">
        <ns0:v>-0.06600207241918071</ns0:v>
      </ns0:c>
      <ns0:c r="C33" s="75" t="n">
        <ns0:v>0.0175055045115403</ns0:v>
      </ns0:c>
      <ns0:c r="D33" s="75" t="n">
        <ns0:v>0.04131064312350583</ns0:v>
      </ns0:c>
      <ns0:c r="E33" s="75" t="n">
        <ns0:v>0.2537021543618538</ns0:v>
      </ns0:c>
      <ns0:c r="F33" s="75" t="n">
        <ns0:v>-0.1004867564770202</ns0:v>
      </ns0:c>
      <ns0:c r="G33" s="75" t="n">
        <ns0:v>-0.05807339790060925</ns0:v>
      </ns0:c>
      <ns0:c r="H33" s="75" t="n">
        <ns0:v>-0.1247017537646112</ns0:v>
      </ns0:c>
      <ns0:c r="I33" s="74" t="n">
        <ns0:v>-0.7039544103221083</ns0:v>
      </ns0:c>
      <ns0:c r="J33" s="75" t="n">
        <ns0:v>-0.1204274700197777</ns0:v>
      </ns0:c>
      <ns0:c r="K33" s="75" t="n">
        <ns0:v>-0.1696914679805443</ns0:v>
      </ns0:c>
      <ns0:c r="L33" s="75" t="n">
        <ns0:v>0.02956479086494323</ns0:v>
      </ns0:c>
      <ns0:c r="M33" s="75" t="n">
        <ns0:v>0.004636340695101831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-0.1659993878925521</ns0:v>
      </ns0:c>
      <ns0:c r="C34" s="75" t="n">
        <ns0:v>-0.07105820953706189</ns0:v>
      </ns0:c>
      <ns0:c r="D34" s="75" t="n">
        <ns0:v>-0.4533946247361448</ns0:v>
      </ns0:c>
      <ns0:c r="E34" s="75" t="n">
        <ns0:v>0.09888204514194018</ns0:v>
      </ns0:c>
      <ns0:c r="F34" s="75" t="n">
        <ns0:v>-0.004404820050200531</ns0:v>
      </ns0:c>
      <ns0:c r="G34" s="75" t="n">
        <ns0:v>-0.2625339246278697</ns0:v>
      </ns0:c>
      <ns0:c r="H34" s="75" t="n">
        <ns0:v>-0.1616892879695264</ns0:v>
      </ns0:c>
      <ns0:c r="I34" s="75" t="n">
        <ns0:v>-0.1848327535580104</ns0:v>
      </ns0:c>
      <ns0:c r="J34" s="74" t="n">
        <ns0:v>-0.934959189768258</ns0:v>
      </ns0:c>
      <ns0:c r="K34" s="75" t="n">
        <ns0:v>-0.1283843517552361</ns0:v>
      </ns0:c>
      <ns0:c r="L34" s="75" t="n">
        <ns0:v>-0.2102368233988393</ns0:v>
      </ns0:c>
      <ns0:c r="M34" s="75" t="n">
        <ns0:v>0.0880477304909167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-0.1205905399135367</ns0:v>
      </ns0:c>
      <ns0:c r="C35" s="75" t="n">
        <ns0:v>-0.05703436325057698</ns0:v>
      </ns0:c>
      <ns0:c r="D35" s="75" t="n">
        <ns0:v>0.001240529631421736</ns0:v>
      </ns0:c>
      <ns0:c r="E35" s="75" t="n">
        <ns0:v>-0.112155311209522</ns0:v>
      </ns0:c>
      <ns0:c r="F35" s="75" t="n">
        <ns0:v>-0.01861248922414695</ns0:v>
      </ns0:c>
      <ns0:c r="G35" s="75" t="n">
        <ns0:v>0.04543980063821828</ns0:v>
      </ns0:c>
      <ns0:c r="H35" s="75" t="n">
        <ns0:v>-0.1068608621770357</ns0:v>
      </ns0:c>
      <ns0:c r="I35" s="75" t="n">
        <ns0:v>-0.04256937464818489</ns0:v>
      </ns0:c>
      <ns0:c r="J35" s="75" t="n">
        <ns0:v>-0.02080647805565431</ns0:v>
      </ns0:c>
      <ns0:c r="K35" s="74" t="n">
        <ns0:v>-0.5628185643751766</ns0:v>
      </ns0:c>
      <ns0:c r="L35" s="75" t="n">
        <ns0:v>-0.05792629956774193</ns0:v>
      </ns0:c>
      <ns0:c r="M35" s="75" t="n">
        <ns0:v>-0.001626752084748092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-0.2407244963249675</ns0:v>
      </ns0:c>
      <ns0:c r="C36" s="75" t="n">
        <ns0:v>0.1641037983211935</ns0:v>
      </ns0:c>
      <ns0:c r="D36" s="75" t="n">
        <ns0:v>-0.06527871790623878</ns0:v>
      </ns0:c>
      <ns0:c r="E36" s="75" t="n">
        <ns0:v>0.2847549041130531</ns0:v>
      </ns0:c>
      <ns0:c r="F36" s="75" t="n">
        <ns0:v>-0.09770764138767273</ns0:v>
      </ns0:c>
      <ns0:c r="G36" s="75" t="n">
        <ns0:v>-0.03025790970128972</ns0:v>
      </ns0:c>
      <ns0:c r="H36" s="75" t="n">
        <ns0:v>0.1678005627997287</ns0:v>
      </ns0:c>
      <ns0:c r="I36" s="75" t="n">
        <ns0:v>0.08663341190414497</ns0:v>
      </ns0:c>
      <ns0:c r="J36" s="75" t="n">
        <ns0:v>-0.1339159123735068</ns0:v>
      </ns0:c>
      <ns0:c r="K36" s="75" t="n">
        <ns0:v>-0.2077808284070618</ns0:v>
      </ns0:c>
      <ns0:c r="L36" s="74" t="n">
        <ns0:v>-0.8801535372572882</ns0:v>
      </ns0:c>
      <ns0:c r="M36" s="75" t="n">
        <ns0:v>0.09112355882640566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0.2299118243082326</ns0:v>
      </ns0:c>
      <ns0:c r="C37" s="75" t="n">
        <ns0:v>-0.1494628442096201</ns0:v>
      </ns0:c>
      <ns0:c r="D37" s="75" t="n">
        <ns0:v>-0.1820548480345278</ns0:v>
      </ns0:c>
      <ns0:c r="E37" s="75" t="n">
        <ns0:v>-0.3494913054169365</ns0:v>
      </ns0:c>
      <ns0:c r="F37" s="75" t="n">
        <ns0:v>-0.05199180199613501</ns0:v>
      </ns0:c>
      <ns0:c r="G37" s="75" t="n">
        <ns0:v>0.05926841015355869</ns0:v>
      </ns0:c>
      <ns0:c r="H37" s="75" t="n">
        <ns0:v>-0.1149455896776145</ns0:v>
      </ns0:c>
      <ns0:c r="I37" s="75" t="n">
        <ns0:v>-0.03748695838541897</ns0:v>
      </ns0:c>
      <ns0:c r="J37" s="75" t="n">
        <ns0:v>0.1929197366537647</ns0:v>
      </ns0:c>
      <ns0:c r="K37" s="75" t="n">
        <ns0:v>-0.04594029834105381</ns0:v>
      </ns0:c>
      <ns0:c r="L37" s="75" t="n">
        <ns0:v>0.01779266055607105</ns0:v>
      </ns0:c>
      <ns0:c r="M37" s="74" t="n">
        <ns0:v>-0.4226588886505876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-1.079127193376037</ns0:v>
      </ns0:c>
      <ns0:c r="C42" s="78" t="n">
        <ns0:v>0.006857309583904646</ns0:v>
      </ns0:c>
      <ns0:c r="D42" s="78" t="n">
        <ns0:v>-0.1179097069309971</ns0:v>
      </ns0:c>
      <ns0:c r="E42" s="78" t="n">
        <ns0:v>0.01386602349797762</ns0:v>
      </ns0:c>
      <ns0:c r="F42" s="78" t="n">
        <ns0:v>-0.03576289636613979</ns0:v>
      </ns0:c>
      <ns0:c r="G42" s="78" t="n">
        <ns0:v>-0.08446940411591683</ns0:v>
      </ns0:c>
      <ns0:c r="H42" s="78" t="n">
        <ns0:v>-0.1053034187648039</ns0:v>
      </ns0:c>
      <ns0:c r="I42" s="78" t="n">
        <ns0:v>-0.03158210985400751</ns0:v>
      </ns0:c>
      <ns0:c r="J42" s="78" t="n">
        <ns0:v>-0.008362054335358176</ns0:v>
      </ns0:c>
      <ns0:c r="K42" s="78" t="n">
        <ns0:v>-0.09163962359951065</ns0:v>
      </ns0:c>
      <ns0:c r="L42" s="78" t="n">
        <ns0:v>-0.1298684408662789</ns0:v>
      </ns0:c>
      <ns0:c r="M42" s="78" t="n">
        <ns0:v>0.0480109902016715</ns0:v>
      </ns0:c>
    </ns0:row>
    <ns0:row r="43" ht="30" customHeight="1">
      <ns0:c r="A43" s="73" t="inlineStr">
        <ns0:is>
          <ns0:t>نان و غلات</ns0:t>
        </ns0:is>
      </ns0:c>
      <ns0:c r="B43" s="78" t="n">
        <ns0:v>0.137719381795718</ns0:v>
      </ns0:c>
      <ns0:c r="C43" s="77" t="n">
        <ns0:v>-0.5788097145648299</ns0:v>
      </ns0:c>
      <ns0:c r="D43" s="78" t="n">
        <ns0:v>0.2946110543978413</ns0:v>
      </ns0:c>
      <ns0:c r="E43" s="78" t="n">
        <ns0:v>-0.11021254438965</ns0:v>
      </ns0:c>
      <ns0:c r="F43" s="78" t="n">
        <ns0:v>-0.004143298219364379</ns0:v>
      </ns0:c>
      <ns0:c r="G43" s="78" t="n">
        <ns0:v>0.04352793115556538</ns0:v>
      </ns0:c>
      <ns0:c r="H43" s="78" t="n">
        <ns0:v>-0.06924392560604502</ns0:v>
      </ns0:c>
      <ns0:c r="I43" s="78" t="n">
        <ns0:v>0.05080574065449204</ns0:v>
      </ns0:c>
      <ns0:c r="J43" s="78" t="n">
        <ns0:v>0.03975050993852762</ns0:v>
      </ns0:c>
      <ns0:c r="K43" s="78" t="n">
        <ns0:v>0.006162634135098143</ns0:v>
      </ns0:c>
      <ns0:c r="L43" s="78" t="n">
        <ns0:v>0.112641745511369</ns0:v>
      </ns0:c>
      <ns0:c r="M43" s="78" t="n">
        <ns0:v>-0.03979283040162727</ns0:v>
      </ns0:c>
    </ns0:row>
    <ns0:row r="44" ht="30" customHeight="1">
      <ns0:c r="A44" s="73" t="inlineStr">
        <ns0:is>
          <ns0:t>گوشت</ns0:t>
        </ns0:is>
      </ns0:c>
      <ns0:c r="B44" s="78" t="n">
        <ns0:v>-0.0005670367366811466</ns0:v>
      </ns0:c>
      <ns0:c r="C44" s="78" t="n">
        <ns0:v>0.02047195697211676</ns0:v>
      </ns0:c>
      <ns0:c r="D44" s="77" t="n">
        <ns0:v>-0.9379308660829748</ns0:v>
      </ns0:c>
      <ns0:c r="E44" s="78" t="n">
        <ns0:v>-0.02386427508859787</ns0:v>
      </ns0:c>
      <ns0:c r="F44" s="78" t="n">
        <ns0:v>-0.07510520792692786</ns0:v>
      </ns0:c>
      <ns0:c r="G44" s="78" t="n">
        <ns0:v>-0.005063737703362671</ns0:v>
      </ns0:c>
      <ns0:c r="H44" s="78" t="n">
        <ns0:v>-0.09534966486513892</ns0:v>
      </ns0:c>
      <ns0:c r="I44" s="78" t="n">
        <ns0:v>-0.021455779355455</ns0:v>
      </ns0:c>
      <ns0:c r="J44" s="78" t="n">
        <ns0:v>-0.03689405583559383</ns0:v>
      </ns0:c>
      <ns0:c r="K44" s="78" t="n">
        <ns0:v>-0.004417226617183976</ns0:v>
      </ns0:c>
      <ns0:c r="L44" s="78" t="n">
        <ns0:v>-0.04567319448533615</ns0:v>
      </ns0:c>
      <ns0:c r="M44" s="78" t="n">
        <ns0:v>-0.04483314036735586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0.1004633451876735</ns0:v>
      </ns0:c>
      <ns0:c r="C45" s="78" t="n">
        <ns0:v>-0.1604278386422884</ns0:v>
      </ns0:c>
      <ns0:c r="D45" s="78" t="n">
        <ns0:v>0.05621066480047611</ns0:v>
      </ns0:c>
      <ns0:c r="E45" s="77" t="n">
        <ns0:v>-0.8060175574450794</ns0:v>
      </ns0:c>
      <ns0:c r="F45" s="78" t="n">
        <ns0:v>-0.01013436380316828</ns0:v>
      </ns0:c>
      <ns0:c r="G45" s="78" t="n">
        <ns0:v>0.0323171279122943</ns0:v>
      </ns0:c>
      <ns0:c r="H45" s="78" t="n">
        <ns0:v>-0.1338013715493366</ns0:v>
      </ns0:c>
      <ns0:c r="I45" s="78" t="n">
        <ns0:v>0.04150174906905019</ns0:v>
      </ns0:c>
      <ns0:c r="J45" s="78" t="n">
        <ns0:v>0.0958215010659465</ns0:v>
      </ns0:c>
      <ns0:c r="K45" s="78" t="n">
        <ns0:v>-0.04655214504160025</ns0:v>
      </ns0:c>
      <ns0:c r="L45" s="78" t="n">
        <ns0:v>0.1016688132914735</ns0:v>
      </ns0:c>
      <ns0:c r="M45" s="78" t="n">
        <ns0:v>-0.1053271400987182</ns0:v>
      </ns0:c>
    </ns0:row>
    <ns0:row r="46" ht="30" customHeight="1">
      <ns0:c r="A46" s="73" t="inlineStr">
        <ns0:is>
          <ns0:t>روغن و چربی</ns0:t>
        </ns0:is>
      </ns0:c>
      <ns0:c r="B46" s="78" t="n">
        <ns0:v>0.01221951413583105</ns0:v>
      </ns0:c>
      <ns0:c r="C46" s="78" t="n">
        <ns0:v>-0.09553139521022211</ns0:v>
      </ns0:c>
      <ns0:c r="D46" s="78" t="n">
        <ns0:v>-0.2032559777505119</ns0:v>
      </ns0:c>
      <ns0:c r="E46" s="78" t="n">
        <ns0:v>0.07504177909949949</ns0:v>
      </ns0:c>
      <ns0:c r="F46" s="77" t="n">
        <ns0:v>-0.4976455080871494</ns0:v>
      </ns0:c>
      <ns0:c r="G46" s="78" t="n">
        <ns0:v>-0.05150046905879493</ns0:v>
      </ns0:c>
      <ns0:c r="H46" s="78" t="n">
        <ns0:v>-0.1136980276755628</ns0:v>
      </ns0:c>
      <ns0:c r="I46" s="78" t="n">
        <ns0:v>-0.1177075644654311</ns0:v>
      </ns0:c>
      <ns0:c r="J46" s="78" t="n">
        <ns0:v>0.03114744202247058</ns0:v>
      </ns0:c>
      <ns0:c r="K46" s="78" t="n">
        <ns0:v>-0.01528841341844672</ns0:v>
      </ns0:c>
      <ns0:c r="L46" s="78" t="n">
        <ns0:v>-0.0833627763398441</ns0:v>
      </ns0:c>
      <ns0:c r="M46" s="78" t="n">
        <ns0:v>-0.01954063030276802</ns0:v>
      </ns0:c>
    </ns0:row>
    <ns0:row r="47" ht="30" customHeight="1">
      <ns0:c r="A47" s="73" t="inlineStr">
        <ns0:is>
          <ns0:t>میوه</ns0:t>
        </ns0:is>
      </ns0:c>
      <ns0:c r="B47" s="78" t="n">
        <ns0:v>-0.1580091058760548</ns0:v>
      </ns0:c>
      <ns0:c r="C47" s="78" t="n">
        <ns0:v>-0.01169537010285603</ns0:v>
      </ns0:c>
      <ns0:c r="D47" s="78" t="n">
        <ns0:v>-0.01097714230213465</ns0:v>
      </ns0:c>
      <ns0:c r="E47" s="78" t="n">
        <ns0:v>0.04206172885822332</ns0:v>
      </ns0:c>
      <ns0:c r="F47" s="78" t="n">
        <ns0:v>-0.09741428436403349</ns0:v>
      </ns0:c>
      <ns0:c r="G47" s="77" t="n">
        <ns0:v>-1.070661141145689</ns0:v>
      </ns0:c>
      <ns0:c r="H47" s="78" t="n">
        <ns0:v>0.1092057014294311</ns0:v>
      </ns0:c>
      <ns0:c r="I47" s="78" t="n">
        <ns0:v>-0.05222231600832433</ns0:v>
      </ns0:c>
      <ns0:c r="J47" s="78" t="n">
        <ns0:v>-0.1943598038904943</ns0:v>
      </ns0:c>
      <ns0:c r="K47" s="78" t="n">
        <ns0:v>0.04574695486629024</ns0:v>
      </ns0:c>
      <ns0:c r="L47" s="78" t="n">
        <ns0:v>-0.02873776904998031</ns0:v>
      </ns0:c>
      <ns0:c r="M47" s="78" t="n">
        <ns0:v>0.0236803437346906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-0.009584009564620948</ns0:v>
      </ns0:c>
      <ns0:c r="C48" s="78" t="n">
        <ns0:v>-0.1146354623070105</ns0:v>
      </ns0:c>
      <ns0:c r="D48" s="78" t="n">
        <ns0:v>-0.04845614599809975</ns0:v>
      </ns0:c>
      <ns0:c r="E48" s="78" t="n">
        <ns0:v>-0.1190397389886152</ns0:v>
      </ns0:c>
      <ns0:c r="F48" s="78" t="n">
        <ns0:v>-0.001799716650589738</ns0:v>
      </ns0:c>
      <ns0:c r="G48" s="78" t="n">
        <ns0:v>0.04747554581358448</ns0:v>
      </ns0:c>
      <ns0:c r="H48" s="77" t="n">
        <ns0:v>-0.4834927633251863</ns0:v>
      </ns0:c>
      <ns0:c r="I48" s="78" t="n">
        <ns0:v>0.003199509083659987</ns0:v>
      </ns0:c>
      <ns0:c r="J48" s="78" t="n">
        <ns0:v>0.007765142775662236</ns0:v>
      </ns0:c>
      <ns0:c r="K48" s="78" t="n">
        <ns0:v>-0.06029534880387354</ns0:v>
      </ns0:c>
      <ns0:c r="L48" s="78" t="n">
        <ns0:v>0.05686650194738397</ns0:v>
      </ns0:c>
      <ns0:c r="M48" s="78" t="n">
        <ns0:v>-0.02266759741402313</ns0:v>
      </ns0:c>
    </ns0:row>
    <ns0:row r="49" ht="30" customHeight="1">
      <ns0:c r="A49" s="73" t="inlineStr">
        <ns0:is>
          <ns0:t>حبوبات</ns0:t>
        </ns0:is>
      </ns0:c>
      <ns0:c r="B49" s="78" t="n">
        <ns0:v>-0.08042211263079505</ns0:v>
      </ns0:c>
      <ns0:c r="C49" s="78" t="n">
        <ns0:v>-0.01994577388865291</ns0:v>
      </ns0:c>
      <ns0:c r="D49" s="78" t="n">
        <ns0:v>-0.0136157185709085</ns0:v>
      </ns0:c>
      <ns0:c r="E49" s="78" t="n">
        <ns0:v>0.2090886208450664</ns0:v>
      </ns0:c>
      <ns0:c r="F49" s="78" t="n">
        <ns0:v>-0.1128374913303979</ns0:v>
      </ns0:c>
      <ns0:c r="G49" s="78" t="n">
        <ns0:v>-0.07121118535193391</ns0:v>
      </ns0:c>
      <ns0:c r="H49" s="78" t="n">
        <ns0:v>-0.1515848969077013</ns0:v>
      </ns0:c>
      <ns0:c r="I49" s="77" t="n">
        <ns0:v>-0.7282080055410518</ns0:v>
      </ns0:c>
      <ns0:c r="J49" s="78" t="n">
        <ns0:v>-0.1081731421576093</ns0:v>
      </ns0:c>
      <ns0:c r="K49" s="78" t="n">
        <ns0:v>-0.1779068900718704</ns0:v>
      </ns0:c>
      <ns0:c r="L49" s="78" t="n">
        <ns0:v>0.01186148017650496</ns0:v>
      </ns0:c>
      <ns0:c r="M49" s="78" t="n">
        <ns0:v>-0.004603825734021578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-0.1196373444655543</ns0:v>
      </ns0:c>
      <ns0:c r="C50" s="78" t="n">
        <ns0:v>0.01536459829744933</ns0:v>
      </ns0:c>
      <ns0:c r="D50" s="78" t="n">
        <ns0:v>-0.3103856705600923</ns0:v>
      </ns0:c>
      <ns0:c r="E50" s="78" t="n">
        <ns0:v>0.2256580658086402</ns0:v>
      </ns0:c>
      <ns0:c r="F50" s="78" t="n">
        <ns0:v>0.01626539856584622</ns0:v>
      </ns0:c>
      <ns0:c r="G50" s="78" t="n">
        <ns0:v>-0.2353262465193812</ns0:v>
      </ns0:c>
      <ns0:c r="H50" s="78" t="n">
        <ns0:v>-0.08324399205951918</ns0:v>
      </ns0:c>
      <ns0:c r="I50" s="78" t="n">
        <ns0:v>-0.1418278256348494</ns0:v>
      </ns0:c>
      <ns0:c r="J50" s="77" t="n">
        <ns0:v>-0.952674538700821</ns0:v>
      </ns0:c>
      <ns0:c r="K50" s="78" t="n">
        <ns0:v>-0.09570396867495301</ns0:v>
      </ns0:c>
      <ns0:c r="L50" s="78" t="n">
        <ns0:v>-0.1692574242651143</ns0:v>
      </ns0:c>
      <ns0:c r="M50" s="78" t="n">
        <ns0:v>0.1015295698738221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-0.1054944230685872</ns0:v>
      </ns0:c>
      <ns0:c r="C51" s="78" t="n">
        <ns0:v>-0.05787997684622007</ns0:v>
      </ns0:c>
      <ns0:c r="D51" s="78" t="n">
        <ns0:v>0.002184694282388251</ns0:v>
      </ns0:c>
      <ns0:c r="E51" s="78" t="n">
        <ns0:v>-0.1089141398526845</ns0:v>
      </ns0:c>
      <ns0:c r="F51" s="78" t="n">
        <ns0:v>-0.007121136985589219</ns0:v>
      </ns0:c>
      <ns0:c r="G51" s="78" t="n">
        <ns0:v>0.04792775542717297</ns0:v>
      </ns0:c>
      <ns0:c r="H51" s="78" t="n">
        <ns0:v>-0.1046613362663452</ns0:v>
      </ns0:c>
      <ns0:c r="I51" s="78" t="n">
        <ns0:v>-0.03650960034016256</ns0:v>
      </ns0:c>
      <ns0:c r="J51" s="78" t="n">
        <ns0:v>-0.03230882093024733</ns0:v>
      </ns0:c>
      <ns0:c r="K51" s="77" t="n">
        <ns0:v>-0.5598096819912224</ns0:v>
      </ns0:c>
      <ns0:c r="L51" s="78" t="n">
        <ns0:v>-0.05874894021122833</ns0:v>
      </ns0:c>
      <ns0:c r="M51" s="78" t="n">
        <ns0:v>-0.003418261496084722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-0.2633304050931288</ns0:v>
      </ns0:c>
      <ns0:c r="C52" s="78" t="n">
        <ns0:v>0.1418733745645796</ns0:v>
      </ns0:c>
      <ns0:c r="D52" s="78" t="n">
        <ns0:v>-0.1020999710770691</ns0:v>
      </ns0:c>
      <ns0:c r="E52" s="78" t="n">
        <ns0:v>0.2492469187913912</ns0:v>
      </ns0:c>
      <ns0:c r="F52" s="78" t="n">
        <ns0:v>-0.1055808355625856</ns0:v>
      </ns0:c>
      <ns0:c r="G52" s="78" t="n">
        <ns0:v>-0.03919853752181018</ns0:v>
      </ns0:c>
      <ns0:c r="H52" s="78" t="n">
        <ns0:v>0.1394822131802566</ns0:v>
      </ns0:c>
      <ns0:c r="I52" s="78" t="n">
        <ns0:v>0.07111200864804047</ns0:v>
      </ns0:c>
      <ns0:c r="J52" s="78" t="n">
        <ns0:v>-0.1250486546862732</ns0:v>
      </ns0:c>
      <ns0:c r="K52" s="78" t="n">
        <ns0:v>-0.2183995942615247</ns0:v>
      </ns0:c>
      <ns0:c r="L52" s="77" t="n">
        <ns0:v>-0.8905876163781012</ns0:v>
      </ns0:c>
      <ns0:c r="M52" s="78" t="n">
        <ns0:v>0.08219060577384903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0.2408638204561583</ns0:v>
      </ns0:c>
      <ns0:c r="C53" s="78" t="n">
        <ns0:v>-0.1206354005591585</ns0:v>
      </ns0:c>
      <ns0:c r="D53" s="78" t="n">
        <ns0:v>-0.1498227884857075</ns0:v>
      </ns0:c>
      <ns0:c r="E53" s="78" t="n">
        <ns0:v>-0.3177410093000846</ns0:v>
      </ns0:c>
      <ns0:c r="F53" s="78" t="n">
        <ns0:v>-0.04775910056359475</ns0:v>
      </ns0:c>
      <ns0:c r="G53" s="78" t="n">
        <ns0:v>0.06529218847542681</ns0:v>
      </ns0:c>
      <ns0:c r="H53" s="78" t="n">
        <ns0:v>-0.0896384311189122</ns0:v>
      </ns0:c>
      <ns0:c r="I53" s="78" t="n">
        <ns0:v>-0.03193720651505356</ns0:v>
      </ns0:c>
      <ns0:c r="J53" s="78" t="n">
        <ns0:v>0.1837958882603465</ns0:v>
      </ns0:c>
      <ns0:c r="K53" s="78" t="n">
        <ns0:v>-0.03457834579090579</ns0:v>
      </ns0:c>
      <ns0:c r="L53" s="78" t="n">
        <ns0:v>0.02471968606266378</ns0:v>
      </ns0:c>
      <ns0:c r="M53" s="77" t="n">
        <ns0:v>-0.4203576870584012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20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کوهرت 1400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-1.08</ns0:v>
      </ns0:c>
      <ns0:c r="C6" s="69" t="n">
        <ns0:v>-1.0778</ns0:v>
      </ns0:c>
      <ns0:c r="D6" s="70" t="n">
        <ns0:v>1.5684</ns0:v>
      </ns0:c>
      <ns0:c r="E6" s="69" t="n">
        <ns0:v>1.6241</ns0:v>
      </ns0:c>
    </ns0:row>
    <ns0:row r="7" ht="23" customHeight="1">
      <ns0:c r="A7" s="28" t="inlineStr">
        <ns0:is>
          <ns0:t>نان و غلات</ns0:t>
        </ns0:is>
      </ns0:c>
      <ns0:c r="B7" s="68" t="n">
        <ns0:v>-0.576</ns0:v>
      </ns0:c>
      <ns0:c r="C7" s="69" t="n">
        <ns0:v>-0.5292</ns0:v>
      </ns0:c>
      <ns0:c r="D7" s="70" t="n">
        <ns0:v>0.1642</ns0:v>
      </ns0:c>
      <ns0:c r="E7" s="69" t="n">
        <ns0:v>0.0172</ns0:v>
      </ns0:c>
    </ns0:row>
    <ns0:row r="8" ht="23" customHeight="1">
      <ns0:c r="A8" s="28" t="inlineStr">
        <ns0:is>
          <ns0:t>گوشت</ns0:t>
        </ns0:is>
      </ns0:c>
      <ns0:c r="B8" s="68" t="n">
        <ns0:v>-0.9323</ns0:v>
      </ns0:c>
      <ns0:c r="C8" s="69" t="n">
        <ns0:v>-0.9433</ns0:v>
      </ns0:c>
      <ns0:c r="D8" s="70" t="n">
        <ns0:v>1.244</ns0:v>
      </ns0:c>
      <ns0:c r="E8" s="69" t="n">
        <ns0:v>1.2635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-0.8202</ns0:v>
      </ns0:c>
      <ns0:c r="C9" s="69" t="n">
        <ns0:v>-0.8135</ns0:v>
      </ns0:c>
      <ns0:c r="D9" s="70" t="n">
        <ns0:v>0.8663</ns0:v>
      </ns0:c>
      <ns0:c r="E9" s="69" t="n">
        <ns0:v>0.8443000000000001</ns0:v>
      </ns0:c>
    </ns0:row>
    <ns0:row r="10" ht="23" customHeight="1">
      <ns0:c r="A10" s="28" t="inlineStr">
        <ns0:is>
          <ns0:t>روغن و چربی</ns0:t>
        </ns0:is>
      </ns0:c>
      <ns0:c r="B10" s="68" t="n">
        <ns0:v>-0.5358000000000001</ns0:v>
      </ns0:c>
      <ns0:c r="C10" s="69" t="n">
        <ns0:v>-0.5377999999999999</ns0:v>
      </ns0:c>
      <ns0:c r="D10" s="70" t="n">
        <ns0:v>0.8191000000000001</ns0:v>
      </ns0:c>
      <ns0:c r="E10" s="69" t="n">
        <ns0:v>1.0741</ns0:v>
      </ns0:c>
    </ns0:row>
    <ns0:row r="11" ht="23" customHeight="1">
      <ns0:c r="A11" s="28" t="inlineStr">
        <ns0:is>
          <ns0:t>میوه</ns0:t>
        </ns0:is>
      </ns0:c>
      <ns0:c r="B11" s="68" t="n">
        <ns0:v>-1.0558</ns0:v>
      </ns0:c>
      <ns0:c r="C11" s="69" t="n">
        <ns0:v>-1.0505</ns0:v>
      </ns0:c>
      <ns0:c r="D11" s="70" t="n">
        <ns0:v>1.3274</ns0:v>
      </ns0:c>
      <ns0:c r="E11" s="69" t="n">
        <ns0:v>1.3545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-0.4931</ns0:v>
      </ns0:c>
      <ns0:c r="C12" s="69" t="n">
        <ns0:v>-0.4794</ns0:v>
      </ns0:c>
      <ns0:c r="D12" s="70" t="n">
        <ns0:v>0.7798</ns0:v>
      </ns0:c>
      <ns0:c r="E12" s="69" t="n">
        <ns0:v>0.7211</ns0:v>
      </ns0:c>
    </ns0:row>
    <ns0:row r="13" ht="23" customHeight="1">
      <ns0:c r="A13" s="28" t="inlineStr">
        <ns0:is>
          <ns0:t>حبوبات</ns0:t>
        </ns0:is>
      </ns0:c>
      <ns0:c r="B13" s="68" t="n">
        <ns0:v>-0.6909</ns0:v>
      </ns0:c>
      <ns0:c r="C13" s="69" t="n">
        <ns0:v>-0.7154</ns0:v>
      </ns0:c>
      <ns0:c r="D13" s="70" t="n">
        <ns0:v>1.033</ns0:v>
      </ns0:c>
      <ns0:c r="E13" s="69" t="n">
        <ns0:v>1.3065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-0.9377</ns0:v>
      </ns0:c>
      <ns0:c r="C14" s="69" t="n">
        <ns0:v>-0.9545</ns0:v>
      </ns0:c>
      <ns0:c r="D14" s="70" t="n">
        <ns0:v>2.2696</ns0:v>
      </ns0:c>
      <ns0:c r="E14" s="69" t="n">
        <ns0:v>1.6411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-0.5671</ns0:v>
      </ns0:c>
      <ns0:c r="C15" s="69" t="n">
        <ns0:v>-0.5641</ns0:v>
      </ns0:c>
      <ns0:c r="D15" s="70" t="n">
        <ns0:v>1.0346</ns0:v>
      </ns0:c>
      <ns0:c r="E15" s="69" t="n">
        <ns0:v>0.9976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-0.866</ns0:v>
      </ns0:c>
      <ns0:c r="C16" s="69" t="n">
        <ns0:v>-0.8762</ns0:v>
      </ns0:c>
      <ns0:c r="D16" s="70" t="n">
        <ns0:v>0.946</ns0:v>
      </ns0:c>
      <ns0:c r="E16" s="69" t="n">
        <ns0:v>1.1543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-0.4197</ns0:v>
      </ns0:c>
      <ns0:c r="C17" s="69" t="n">
        <ns0:v>-0.4163</ns0:v>
      </ns0:c>
      <ns0:c r="D17" s="70" t="n">
        <ns0:v>0.8641</ns0:v>
      </ns0:c>
      <ns0:c r="E17" s="69" t="n">
        <ns0:v>0.7049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-1.080013101438368</ns0:v>
      </ns0:c>
      <ns0:c r="C26" s="75" t="n">
        <ns0:v>0.02743079067866418</ns0:v>
      </ns0:c>
      <ns0:c r="D26" s="75" t="n">
        <ns0:v>-0.1067746993628098</ns0:v>
      </ns0:c>
      <ns0:c r="E26" s="75" t="n">
        <ns0:v>0.02047253974483499</ns0:v>
      </ns0:c>
      <ns0:c r="F26" s="75" t="n">
        <ns0:v>-0.0410967036903035</ns0:v>
      </ns0:c>
      <ns0:c r="G26" s="75" t="n">
        <ns0:v>-0.0821816897167955</ns0:v>
      </ns0:c>
      <ns0:c r="H26" s="75" t="n">
        <ns0:v>-0.0951162488221203</ns0:v>
      </ns0:c>
      <ns0:c r="I26" s="75" t="n">
        <ns0:v>-0.02862828589534262</ns0:v>
      </ns0:c>
      <ns0:c r="J26" s="75" t="n">
        <ns0:v>-0.0116419319496807</ns0:v>
      </ns0:c>
      <ns0:c r="K26" s="75" t="n">
        <ns0:v>-0.0919424813977336</ns0:v>
      </ns0:c>
      <ns0:c r="L26" s="75" t="n">
        <ns0:v>-0.1247628192235832</ns0:v>
      </ns0:c>
      <ns0:c r="M26" s="75" t="n">
        <ns0:v>0.05108037018354446</ns0:v>
      </ns0:c>
    </ns0:row>
    <ns0:row r="27" ht="30" customHeight="1">
      <ns0:c r="A27" s="73" t="inlineStr">
        <ns0:is>
          <ns0:t>نان و غلات</ns0:t>
        </ns0:is>
      </ns0:c>
      <ns0:c r="B27" s="75" t="n">
        <ns0:v>0.1603490355681791</ns0:v>
      </ns0:c>
      <ns0:c r="C27" s="74" t="n">
        <ns0:v>-0.5760076435424685</ns0:v>
      </ns0:c>
      <ns0:c r="D27" s="75" t="n">
        <ns0:v>0.3144886537888062</ns0:v>
      </ns0:c>
      <ns0:c r="E27" s="75" t="n">
        <ns0:v>-0.1474772129426394</ns0:v>
      </ns0:c>
      <ns0:c r="F27" s="75" t="n">
        <ns0:v>0.02354587734727171</ns0:v>
      </ns0:c>
      <ns0:c r="G27" s="75" t="n">
        <ns0:v>0.04724278862098247</ns0:v>
      </ns0:c>
      <ns0:c r="H27" s="75" t="n">
        <ns0:v>-0.1033423879853227</ns0:v>
      </ns0:c>
      <ns0:c r="I27" s="75" t="n">
        <ns0:v>0.05346100941718591</ns0:v>
      </ns0:c>
      <ns0:c r="J27" s="75" t="n">
        <ns0:v>0.02962466674827901</ns0:v>
      </ns0:c>
      <ns0:c r="K27" s="75" t="n">
        <ns0:v>-0.006493241819562878</ns0:v>
      </ns0:c>
      <ns0:c r="L27" s="75" t="n">
        <ns0:v>0.1193270386861536</ns0:v>
      </ns0:c>
      <ns0:c r="M27" s="75" t="n">
        <ns0:v>-0.05492956118129046</ns0:v>
      </ns0:c>
    </ns0:row>
    <ns0:row r="28" ht="30" customHeight="1">
      <ns0:c r="A28" s="73" t="inlineStr">
        <ns0:is>
          <ns0:t>گوشت</ns0:t>
        </ns0:is>
      </ns0:c>
      <ns0:c r="B28" s="75" t="n">
        <ns0:v>0.003135976367545901</ns0:v>
      </ns0:c>
      <ns0:c r="C28" s="75" t="n">
        <ns0:v>0.02467925245047068</ns0:v>
      </ns0:c>
      <ns0:c r="D28" s="74" t="n">
        <ns0:v>-0.9322884484623389</ns0:v>
      </ns0:c>
      <ns0:c r="E28" s="75" t="n">
        <ns0:v>-0.01960049009209079</ns0:v>
      </ns0:c>
      <ns0:c r="F28" s="75" t="n">
        <ns0:v>-0.08336164090270803</ns0:v>
      </ns0:c>
      <ns0:c r="G28" s="75" t="n">
        <ns0:v>-0.005694204148957057</ns0:v>
      </ns0:c>
      <ns0:c r="H28" s="75" t="n">
        <ns0:v>-0.09082689442845997</ns0:v>
      </ns0:c>
      <ns0:c r="I28" s="75" t="n">
        <ns0:v>-0.0200953610389669</ns0:v>
      </ns0:c>
      <ns0:c r="J28" s="75" t="n">
        <ns0:v>-0.03518054597065725</ns0:v>
      </ns0:c>
      <ns0:c r="K28" s="75" t="n">
        <ns0:v>0.001204665467984772</ns0:v>
      </ns0:c>
      <ns0:c r="L28" s="75" t="n">
        <ns0:v>-0.04523635130609902</ns0:v>
      </ns0:c>
      <ns0:c r="M28" s="75" t="n">
        <ns0:v>-0.04220222921082806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0.09444975620459231</ns0:v>
      </ns0:c>
      <ns0:c r="C29" s="75" t="n">
        <ns0:v>-0.1619751117634327</ns0:v>
      </ns0:c>
      <ns0:c r="D29" s="75" t="n">
        <ns0:v>0.05437527248670142</ns0:v>
      </ns0:c>
      <ns0:c r="E29" s="74" t="n">
        <ns0:v>-0.8201903148790003</ns0:v>
      </ns0:c>
      <ns0:c r="F29" s="75" t="n">
        <ns0:v>0.004504280638608503</ns0:v>
      </ns0:c>
      <ns0:c r="G29" s="75" t="n">
        <ns0:v>0.0305981384308126</ns0:v>
      </ns0:c>
      <ns0:c r="H29" s="75" t="n">
        <ns0:v>-0.1337020631845812</ns0:v>
      </ns0:c>
      <ns0:c r="I29" s="75" t="n">
        <ns0:v>0.03965842215322427</ns0:v>
      </ns0:c>
      <ns0:c r="J29" s="75" t="n">
        <ns0:v>0.0780619240708017</ns0:v>
      </ns0:c>
      <ns0:c r="K29" s="75" t="n">
        <ns0:v>-0.04131833376783031</ns0:v>
      </ns0:c>
      <ns0:c r="L29" s="75" t="n">
        <ns0:v>0.09793996688600021</ns0:v>
      </ns0:c>
      <ns0:c r="M29" s="75" t="n">
        <ns0:v>-0.1058529262981308</ns0:v>
      </ns0:c>
    </ns0:row>
    <ns0:row r="30" ht="30" customHeight="1">
      <ns0:c r="A30" s="73" t="inlineStr">
        <ns0:is>
          <ns0:t>روغن و چربی</ns0:t>
        </ns0:is>
      </ns0:c>
      <ns0:c r="B30" s="75" t="n">
        <ns0:v>0.01067523932263937</ns0:v>
      </ns0:c>
      <ns0:c r="C30" s="75" t="n">
        <ns0:v>-0.04166934124754901</ns0:v>
      </ns0:c>
      <ns0:c r="D30" s="75" t="n">
        <ns0:v>-0.1662409667237139</ns0:v>
      </ns0:c>
      <ns0:c r="E30" s="75" t="n">
        <ns0:v>0.138006744401594</ns0:v>
      </ns0:c>
      <ns0:c r="F30" s="74" t="n">
        <ns0:v>-0.5358106090180896</ns0:v>
      </ns0:c>
      <ns0:c r="G30" s="75" t="n">
        <ns0:v>-0.04020404893488225</ns0:v>
      </ns0:c>
      <ns0:c r="H30" s="75" t="n">
        <ns0:v>-0.07301970336723575</ns0:v>
      </ns0:c>
      <ns0:c r="I30" s="75" t="n">
        <ns0:v>-0.1057384436124372</ns0:v>
      </ns0:c>
      <ns0:c r="J30" s="75" t="n">
        <ns0:v>0.05182100748899179</ns0:v>
      </ns0:c>
      <ns0:c r="K30" s="75" t="n">
        <ns0:v>-0.01290360667105519</ns0:v>
      </ns0:c>
      <ns0:c r="L30" s="75" t="n">
        <ns0:v>-0.06889518833216464</ns0:v>
      </ns0:c>
      <ns0:c r="M30" s="75" t="n">
        <ns0:v>-0.002711910498741082</ns0:v>
      </ns0:c>
    </ns0:row>
    <ns0:row r="31" ht="30" customHeight="1">
      <ns0:c r="A31" s="73" t="inlineStr">
        <ns0:is>
          <ns0:t>میوه</ns0:t>
        </ns0:is>
      </ns0:c>
      <ns0:c r="B31" s="75" t="n">
        <ns0:v>-0.1598972803500684</ns0:v>
      </ns0:c>
      <ns0:c r="C31" s="75" t="n">
        <ns0:v>-0.0004828297909657561</ns0:v>
      </ns0:c>
      <ns0:c r="D31" s="75" t="n">
        <ns0:v>-0.01092140658505465</ns0:v>
      </ns0:c>
      <ns0:c r="E31" s="75" t="n">
        <ns0:v>0.04928786337249954</ns0:v>
      </ns0:c>
      <ns0:c r="F31" s="75" t="n">
        <ns0:v>-0.08956724566877318</ns0:v>
      </ns0:c>
      <ns0:c r="G31" s="74" t="n">
        <ns0:v>-1.055776632743205</ns0:v>
      </ns0:c>
      <ns0:c r="H31" s="75" t="n">
        <ns0:v>0.1178730014509545</ns0:v>
      </ns0:c>
      <ns0:c r="I31" s="75" t="n">
        <ns0:v>-0.04720631819879656</ns0:v>
      </ns0:c>
      <ns0:c r="J31" s="75" t="n">
        <ns0:v>-0.1954362129576359</ns0:v>
      </ns0:c>
      <ns0:c r="K31" s="75" t="n">
        <ns0:v>0.05408889654230337</ns0:v>
      </ns0:c>
      <ns0:c r="L31" s="75" t="n">
        <ns0:v>-0.03091564948526742</ns0:v>
      </ns0:c>
      <ns0:c r="M31" s="75" t="n">
        <ns0:v>0.02983500353498884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-0.01054590485918082</ns0:v>
      </ns0:c>
      <ns0:c r="C32" s="75" t="n">
        <ns0:v>-0.1247454272216801</ns0:v>
      </ns0:c>
      <ns0:c r="D32" s="75" t="n">
        <ns0:v>-0.06245229556865763</ns0:v>
      </ns0:c>
      <ns0:c r="E32" s="75" t="n">
        <ns0:v>-0.1289327590367714</ns0:v>
      </ns0:c>
      <ns0:c r="F32" s="75" t="n">
        <ns0:v>-0.0006485671725303481</ns0:v>
      </ns0:c>
      <ns0:c r="G32" s="75" t="n">
        <ns0:v>0.04644872972364782</ns0:v>
      </ns0:c>
      <ns0:c r="H32" s="74" t="n">
        <ns0:v>-0.493104529242151</ns0:v>
      </ns0:c>
      <ns0:c r="I32" s="75" t="n">
        <ns0:v>-0.0004257039260371137</ns0:v>
      </ns0:c>
      <ns0:c r="J32" s="75" t="n">
        <ns0:v>0.01099941793022624</ns0:v>
      </ns0:c>
      <ns0:c r="K32" s="75" t="n">
        <ns0:v>-0.0678851463194136</ns0:v>
      </ns0:c>
      <ns0:c r="L32" s="75" t="n">
        <ns0:v>0.05569423778299886</ns0:v>
      </ns0:c>
      <ns0:c r="M32" s="75" t="n">
        <ns0:v>-0.0253374603515356</ns0:v>
      </ns0:c>
    </ns0:row>
    <ns0:row r="33" ht="30" customHeight="1">
      <ns0:c r="A33" s="73" t="inlineStr">
        <ns0:is>
          <ns0:t>حبوبات</ns0:t>
        </ns0:is>
      </ns0:c>
      <ns0:c r="B33" s="75" t="n">
        <ns0:v>-0.06914207281241609</ns0:v>
      </ns0:c>
      <ns0:c r="C33" s="75" t="n">
        <ns0:v>0.01546788948134799</ns0:v>
      </ns0:c>
      <ns0:c r="D33" s="75" t="n">
        <ns0:v>0.04345857126103822</ns0:v>
      </ns0:c>
      <ns0:c r="E33" s="75" t="n">
        <ns0:v>0.264506294095847</ns0:v>
      </ns0:c>
      <ns0:c r="F33" s="75" t="n">
        <ns0:v>-0.1040476570833425</ns0:v>
      </ns0:c>
      <ns0:c r="G33" s="75" t="n">
        <ns0:v>-0.0608896013206997</ns0:v>
      </ns0:c>
      <ns0:c r="H33" s="75" t="n">
        <ns0:v>-0.1305795905728891</ns0:v>
      </ns0:c>
      <ns0:c r="I33" s="74" t="n">
        <ns0:v>-0.6908737528769032</ns0:v>
      </ns0:c>
      <ns0:c r="J33" s="75" t="n">
        <ns0:v>-0.1257633958715052</ns0:v>
      </ns0:c>
      <ns0:c r="K33" s="75" t="n">
        <ns0:v>-0.1767367385755288</ns0:v>
      </ns0:c>
      <ns0:c r="L33" s="75" t="n">
        <ns0:v>0.02975073263643566</ns0:v>
      </ns0:c>
      <ns0:c r="M33" s="75" t="n">
        <ns0:v>0.004062055599198313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-0.1604208998698397</ns0:v>
      </ns0:c>
      <ns0:c r="C34" s="75" t="n">
        <ns0:v>-0.06335241621151037</ns0:v>
      </ns0:c>
      <ns0:c r="D34" s="75" t="n">
        <ns0:v>-0.4522680964134122</ns0:v>
      </ns0:c>
      <ns0:c r="E34" s="75" t="n">
        <ns0:v>0.09094112706408898</ns0:v>
      </ns0:c>
      <ns0:c r="F34" s="75" t="n">
        <ns0:v>-0.0117985096527961</ns0:v>
      </ns0:c>
      <ns0:c r="G34" s="75" t="n">
        <ns0:v>-0.2561385985044348</ns0:v>
      </ns0:c>
      <ns0:c r="H34" s="75" t="n">
        <ns0:v>-0.1597071750900197</ns0:v>
      </ns0:c>
      <ns0:c r="I34" s="75" t="n">
        <ns0:v>-0.1791691997843005</ns0:v>
      </ns0:c>
      <ns0:c r="J34" s="74" t="n">
        <ns0:v>-0.9376846836228324</ns0:v>
      </ns0:c>
      <ns0:c r="K34" s="75" t="n">
        <ns0:v>-0.1254110167722655</ns0:v>
      </ns0:c>
      <ns0:c r="L34" s="75" t="n">
        <ns0:v>-0.2041765230877119</ns0:v>
      </ns0:c>
      <ns0:c r="M34" s="75" t="n">
        <ns0:v>0.08585758729224825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-0.1197533669469097</ns0:v>
      </ns0:c>
      <ns0:c r="C35" s="75" t="n">
        <ns0:v>-0.05572092603967931</ns0:v>
      </ns0:c>
      <ns0:c r="D35" s="75" t="n">
        <ns0:v>-0.001009761318078921</ns0:v>
      </ns0:c>
      <ns0:c r="E35" s="75" t="n">
        <ns0:v>-0.1133444139750331</ns0:v>
      </ns0:c>
      <ns0:c r="F35" s="75" t="n">
        <ns0:v>-0.0200414540004436</ns0:v>
      </ns0:c>
      <ns0:c r="G35" s="75" t="n">
        <ns0:v>0.04525418072786455</ns0:v>
      </ns0:c>
      <ns0:c r="H35" s="75" t="n">
        <ns0:v>-0.106068235891381</ns0:v>
      </ns0:c>
      <ns0:c r="I35" s="75" t="n">
        <ns0:v>-0.04234924871711248</ns0:v>
      </ns0:c>
      <ns0:c r="J35" s="75" t="n">
        <ns0:v>-0.02026441011024106</ns0:v>
      </ns0:c>
      <ns0:c r="K35" s="74" t="n">
        <ns0:v>-0.5670527839172499</ns0:v>
      </ns0:c>
      <ns0:c r="L35" s="75" t="n">
        <ns0:v>-0.05672527096791264</ns0:v>
      </ns0:c>
      <ns0:c r="M35" s="75" t="n">
        <ns0:v>-0.001176849380929709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-0.252084215212179</ns0:v>
      </ns0:c>
      <ns0:c r="C36" s="75" t="n">
        <ns0:v>0.1702428340331434</ns0:v>
      </ns0:c>
      <ns0:c r="D36" s="75" t="n">
        <ns0:v>-0.06652199090843222</ns0:v>
      </ns0:c>
      <ns0:c r="E36" s="75" t="n">
        <ns0:v>0.3006693159974276</ns0:v>
      </ns0:c>
      <ns0:c r="F36" s="75" t="n">
        <ns0:v>-0.09964995436667866</ns0:v>
      </ns0:c>
      <ns0:c r="G36" s="75" t="n">
        <ns0:v>-0.03110704929853838</ns0:v>
      </ns0:c>
      <ns0:c r="H36" s="75" t="n">
        <ns0:v>0.1759043554827949</ns0:v>
      </ns0:c>
      <ns0:c r="I36" s="75" t="n">
        <ns0:v>0.08692466810292206</ns0:v>
      </ns0:c>
      <ns0:c r="J36" s="75" t="n">
        <ns0:v>-0.1370532890814532</ns0:v>
      </ns0:c>
      <ns0:c r="K36" s="75" t="n">
        <ns0:v>-0.2122632217039924</ns0:v>
      </ns0:c>
      <ns0:c r="L36" s="74" t="n">
        <ns0:v>-0.8660197734368615</ns0:v>
      </ns0:c>
      <ns0:c r="M36" s="75" t="n">
        <ns0:v>0.09034774069371117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0.2308273319468445</ns0:v>
      </ns0:c>
      <ns0:c r="C37" s="75" t="n">
        <ns0:v>-0.152295687334907</ns0:v>
      </ns0:c>
      <ns0:c r="D37" s="75" t="n">
        <ns0:v>-0.1830381106170259</ns0:v>
      </ns0:c>
      <ns0:c r="E37" s="75" t="n">
        <ns0:v>-0.3516432358388054</ns0:v>
      </ns0:c>
      <ns0:c r="F37" s="75" t="n">
        <ns0:v>-0.05180738510922728</ns0:v>
      </ns0:c>
      <ns0:c r="G37" s="75" t="n">
        <ns0:v>0.05916835909078934</ns0:v>
      </ns0:c>
      <ns0:c r="H37" s="75" t="n">
        <ns0:v>-0.116376289792432</ns0:v>
      </ns0:c>
      <ns0:c r="I37" s="75" t="n">
        <ns0:v>-0.03845607497871278</ns0:v>
      </ns0:c>
      <ns0:c r="J37" s="75" t="n">
        <ns0:v>0.1943888845574203</ns0:v>
      </ns0:c>
      <ns0:c r="K37" s="75" t="n">
        <ns0:v>-0.04660391471223521</ns0:v>
      </ns0:c>
      <ns0:c r="L37" s="75" t="n">
        <ns0:v>0.01719714513599974</ns0:v>
      </ns0:c>
      <ns0:c r="M37" s="74" t="n">
        <ns0:v>-0.4197108305592014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-1.07778070902374</ns0:v>
      </ns0:c>
      <ns0:c r="C42" s="78" t="n">
        <ns0:v>0.0121163429916623</ns0:v>
      </ns0:c>
      <ns0:c r="D42" s="78" t="n">
        <ns0:v>-0.1229826589245736</ns0:v>
      </ns0:c>
      <ns0:c r="E42" s="78" t="n">
        <ns0:v>0.01167462779228094</ns0:v>
      </ns0:c>
      <ns0:c r="F42" s="78" t="n">
        <ns0:v>-0.04025801301055633</ns0:v>
      </ns0:c>
      <ns0:c r="G42" s="78" t="n">
        <ns0:v>-0.08427614355411475</ns0:v>
      </ns0:c>
      <ns0:c r="H42" s="78" t="n">
        <ns0:v>-0.105414434733798</ns0:v>
      </ns0:c>
      <ns0:c r="I42" s="78" t="n">
        <ns0:v>-0.03008462466268584</ns0:v>
      </ns0:c>
      <ns0:c r="J42" s="78" t="n">
        <ns0:v>-0.00912193988354002</ns0:v>
      </ns0:c>
      <ns0:c r="K42" s="78" t="n">
        <ns0:v>-0.09219175703237412</ns0:v>
      </ns0:c>
      <ns0:c r="L42" s="78" t="n">
        <ns0:v>-0.129406906755826</ns0:v>
      </ns0:c>
      <ns0:c r="M42" s="78" t="n">
        <ns0:v>0.04911436237112377</ns0:v>
      </ns0:c>
    </ns0:row>
    <ns0:row r="43" ht="30" customHeight="1">
      <ns0:c r="A43" s="73" t="inlineStr">
        <ns0:is>
          <ns0:t>نان و غلات</ns0:t>
        </ns0:is>
      </ns0:c>
      <ns0:c r="B43" s="78" t="n">
        <ns0:v>0.1525413698155778</ns0:v>
      </ns0:c>
      <ns0:c r="C43" s="77" t="n">
        <ns0:v>-0.5292039370944204</ns0:v>
      </ns0:c>
      <ns0:c r="D43" s="78" t="n">
        <ns0:v>0.3445569695797888</ns0:v>
      </ns0:c>
      <ns0:c r="E43" s="78" t="n">
        <ns0:v>-0.1209707770798846</ns0:v>
      </ns0:c>
      <ns0:c r="F43" s="78" t="n">
        <ns0:v>0.006174895238015037</ns0:v>
      </ns0:c>
      <ns0:c r="G43" s="78" t="n">
        <ns0:v>0.04938694154662099</ns0:v>
      </ns0:c>
      <ns0:c r="H43" s="78" t="n">
        <ns0:v>-0.08095786710467197</ns0:v>
      </ns0:c>
      <ns0:c r="I43" s="78" t="n">
        <ns0:v>0.05789276764441809</ns0:v>
      </ns0:c>
      <ns0:c r="J43" s="78" t="n">
        <ns0:v>0.04442917357676625</ns0:v>
      </ns0:c>
      <ns0:c r="K43" s="78" t="n">
        <ns0:v>-0.001388385101400822</ns0:v>
      </ns0:c>
      <ns0:c r="L43" s="78" t="n">
        <ns0:v>0.128113471585554</ns0:v>
      </ns0:c>
      <ns0:c r="M43" s="78" t="n">
        <ns0:v>-0.04454273294961315</ns0:v>
      </ns0:c>
    </ns0:row>
    <ns0:row r="44" ht="30" customHeight="1">
      <ns0:c r="A44" s="73" t="inlineStr">
        <ns0:is>
          <ns0:t>گوشت</ns0:t>
        </ns0:is>
      </ns0:c>
      <ns0:c r="B44" s="78" t="n">
        <ns0:v>0.0007876551943919088</ns0:v>
      </ns0:c>
      <ns0:c r="C44" s="78" t="n">
        <ns0:v>0.02042861153894844</ns0:v>
      </ns0:c>
      <ns0:c r="D44" s="77" t="n">
        <ns0:v>-0.9433098957752322</ns0:v>
      </ns0:c>
      <ns0:c r="E44" s="78" t="n">
        <ns0:v>-0.02496956431868807</ns0:v>
      </ns0:c>
      <ns0:c r="F44" s="78" t="n">
        <ns0:v>-0.0744292556565985</ns0:v>
      </ns0:c>
      <ns0:c r="G44" s="78" t="n">
        <ns0:v>-0.004555966032691598</ns0:v>
      </ns0:c>
      <ns0:c r="H44" s="78" t="n">
        <ns0:v>-0.09247911905322465</ns0:v>
      </ns0:c>
      <ns0:c r="I44" s="78" t="n">
        <ns0:v>-0.02010984519370247</ns0:v>
      </ns0:c>
      <ns0:c r="J44" s="78" t="n">
        <ns0:v>-0.03571365105003638</ns0:v>
      </ns0:c>
      <ns0:c r="K44" s="78" t="n">
        <ns0:v>-0.004070646078351754</ns0:v>
      </ns0:c>
      <ns0:c r="L44" s="78" t="n">
        <ns0:v>-0.043462024790757</ns0:v>
      </ns0:c>
      <ns0:c r="M44" s="78" t="n">
        <ns0:v>-0.04292542645677706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0.0958740168988946</ns0:v>
      </ns0:c>
      <ns0:c r="C45" s="78" t="n">
        <ns0:v>-0.1552126358352172</ns0:v>
      </ns0:c>
      <ns0:c r="D45" s="78" t="n">
        <ns0:v>0.05483090219586519</ns0:v>
      </ns0:c>
      <ns0:c r="E45" s="77" t="n">
        <ns0:v>-0.8134658412790389</ns0:v>
      </ns0:c>
      <ns0:c r="F45" s="78" t="n">
        <ns0:v>-0.008314791452424039</ns0:v>
      </ns0:c>
      <ns0:c r="G45" s="78" t="n">
        <ns0:v>0.03048216899679107</ns0:v>
      </ns0:c>
      <ns0:c r="H45" s="78" t="n">
        <ns0:v>-0.1289405085140081</ns0:v>
      </ns0:c>
      <ns0:c r="I45" s="78" t="n">
        <ns0:v>0.03980731757227048</ns0:v>
      </ns0:c>
      <ns0:c r="J45" s="78" t="n">
        <ns0:v>0.0932693860293899</ns0:v>
      </ns0:c>
      <ns0:c r="K45" s="78" t="n">
        <ns0:v>-0.04554955107948765</ns0:v>
      </ns0:c>
      <ns0:c r="L45" s="78" t="n">
        <ns0:v>0.09749659421158488</ns0:v>
      </ns0:c>
      <ns0:c r="M45" s="78" t="n">
        <ns0:v>-0.1017729571628802</ns0:v>
      </ns0:c>
    </ns0:row>
    <ns0:row r="46" ht="30" customHeight="1">
      <ns0:c r="A46" s="73" t="inlineStr">
        <ns0:is>
          <ns0:t>روغن و چربی</ns0:t>
        </ns0:is>
      </ns0:c>
      <ns0:c r="B46" s="78" t="n">
        <ns0:v>0.007174562324707988</ns0:v>
      </ns0:c>
      <ns0:c r="C46" s="78" t="n">
        <ns0:v>-0.09248571937520497</ns0:v>
      </ns0:c>
      <ns0:c r="D46" s="78" t="n">
        <ns0:v>-0.197213125337381</ns0:v>
      </ns0:c>
      <ns0:c r="E46" s="78" t="n">
        <ns0:v>0.08527180081534541</ns0:v>
      </ns0:c>
      <ns0:c r="F46" s="77" t="n">
        <ns0:v>-0.5377650101565206</ns0:v>
      </ns0:c>
      <ns0:c r="G46" s="78" t="n">
        <ns0:v>-0.0517371673865844</ns0:v>
      </ns0:c>
      <ns0:c r="H46" s="78" t="n">
        <ns0:v>-0.1183419417937751</ns0:v>
      </ns0:c>
      <ns0:c r="I46" s="78" t="n">
        <ns0:v>-0.1202263927760458</ns0:v>
      </ns0:c>
      <ns0:c r="J46" s="78" t="n">
        <ns0:v>0.03051074414303663</ns0:v>
      </ns0:c>
      <ns0:c r="K46" s="78" t="n">
        <ns0:v>-0.01663436822131883</ns0:v>
      </ns0:c>
      <ns0:c r="L46" s="78" t="n">
        <ns0:v>-0.07880556015578376</ns0:v>
      </ns0:c>
      <ns0:c r="M46" s="78" t="n">
        <ns0:v>-0.01508359367805674</ns0:v>
      </ns0:c>
    </ns0:row>
    <ns0:row r="47" ht="30" customHeight="1">
      <ns0:c r="A47" s="73" t="inlineStr">
        <ns0:is>
          <ns0:t>میوه</ns0:t>
        </ns0:is>
      </ns0:c>
      <ns0:c r="B47" s="78" t="n">
        <ns0:v>-0.1603016006462578</ns0:v>
      </ns0:c>
      <ns0:c r="C47" s="78" t="n">
        <ns0:v>-0.008666615303983199</ns0:v>
      </ns0:c>
      <ns0:c r="D47" s="78" t="n">
        <ns0:v>-0.007630793162038435</ns0:v>
      </ns0:c>
      <ns0:c r="E47" s="78" t="n">
        <ns0:v>0.04387684553339781</ns0:v>
      </ns0:c>
      <ns0:c r="F47" s="78" t="n">
        <ns0:v>-0.09489382151445749</ns0:v>
      </ns0:c>
      <ns0:c r="G47" s="77" t="n">
        <ns0:v>-1.050510018936012</ns0:v>
      </ns0:c>
      <ns0:c r="H47" s="78" t="n">
        <ns0:v>0.1072749820074069</ns0:v>
      </ns0:c>
      <ns0:c r="I47" s="78" t="n">
        <ns0:v>-0.048130468296539</ns0:v>
      </ns0:c>
      <ns0:c r="J47" s="78" t="n">
        <ns0:v>-0.1983942761790031</ns0:v>
      </ns0:c>
      <ns0:c r="K47" s="78" t="n">
        <ns0:v>0.0517610265539862</ns0:v>
      </ns0:c>
      <ns0:c r="L47" s="78" t="n">
        <ns0:v>-0.03010301447778695</ns0:v>
      </ns0:c>
      <ns0:c r="M47" s="78" t="n">
        <ns0:v>0.02671786527809817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-0.01086926044117633</ns0:v>
      </ns0:c>
      <ns0:c r="C48" s="78" t="n">
        <ns0:v>-0.1173668453341345</ns0:v>
      </ns0:c>
      <ns0:c r="D48" s="78" t="n">
        <ns0:v>-0.04783910460720622</ns0:v>
      </ns0:c>
      <ns0:c r="E48" s="78" t="n">
        <ns0:v>-0.1191433321782141</ns0:v>
      </ns0:c>
      <ns0:c r="F48" s="78" t="n">
        <ns0:v>0.0001868603550358866</ns0:v>
      </ns0:c>
      <ns0:c r="G48" s="78" t="n">
        <ns0:v>0.04753416802604945</ns0:v>
      </ns0:c>
      <ns0:c r="H48" s="77" t="n">
        <ns0:v>-0.4794046212233435</ns0:v>
      </ns0:c>
      <ns0:c r="I48" s="78" t="n">
        <ns0:v>0.00263908221999231</ns0:v>
      </ns0:c>
      <ns0:c r="J48" s="78" t="n">
        <ns0:v>0.007893269998849862</ns0:v>
      </ns0:c>
      <ns0:c r="K48" s="78" t="n">
        <ns0:v>-0.06108923535607066</ns0:v>
      </ns0:c>
      <ns0:c r="L48" s="78" t="n">
        <ns0:v>0.05651316811374772</ns0:v>
      </ns0:c>
      <ns0:c r="M48" s="78" t="n">
        <ns0:v>-0.0224145064055085</ns0:v>
      </ns0:c>
    </ns0:row>
    <ns0:row r="49" ht="30" customHeight="1">
      <ns0:c r="A49" s="73" t="inlineStr">
        <ns0:is>
          <ns0:t>حبوبات</ns0:t>
        </ns0:is>
      </ns0:c>
      <ns0:c r="B49" s="78" t="n">
        <ns0:v>-0.0835902574036794</ns0:v>
      </ns0:c>
      <ns0:c r="C49" s="78" t="n">
        <ns0:v>-0.02289017776424506</ns0:v>
      </ns0:c>
      <ns0:c r="D49" s="78" t="n">
        <ns0:v>-0.01423290224572585</ns0:v>
      </ns0:c>
      <ns0:c r="E49" s="78" t="n">
        <ns0:v>0.2175018490923061</ns0:v>
      </ns0:c>
      <ns0:c r="F49" s="78" t="n">
        <ns0:v>-0.117728497991525</ns0:v>
      </ns0:c>
      <ns0:c r="G49" s="78" t="n">
        <ns0:v>-0.07432406650184821</ns0:v>
      </ns0:c>
      <ns0:c r="H49" s="78" t="n">
        <ns0:v>-0.1587455595078822</ns0:v>
      </ns0:c>
      <ns0:c r="I49" s="77" t="n">
        <ns0:v>-0.7154448595379137</ns0:v>
      </ns0:c>
      <ns0:c r="J49" s="78" t="n">
        <ns0:v>-0.1134612094393364</ns0:v>
      </ns0:c>
      <ns0:c r="K49" s="78" t="n">
        <ns0:v>-0.1852130379531204</ns0:v>
      </ns0:c>
      <ns0:c r="L49" s="78" t="n">
        <ns0:v>0.01178898383522225</ns0:v>
      </ns0:c>
      <ns0:c r="M49" s="78" t="n">
        <ns0:v>-0.005629482947847407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-0.1170354044038147</ns0:v>
      </ns0:c>
      <ns0:c r="C50" s="78" t="n">
        <ns0:v>0.01571067951864762</ns0:v>
      </ns0:c>
      <ns0:c r="D50" s="78" t="n">
        <ns0:v>-0.307629294541412</ns0:v>
      </ns0:c>
      <ns0:c r="E50" s="78" t="n">
        <ns0:v>0.219103475296787</ns0:v>
      </ns0:c>
      <ns0:c r="F50" s="78" t="n">
        <ns0:v>0.01362930009283257</ns0:v>
      </ns0:c>
      <ns0:c r="G50" s="78" t="n">
        <ns0:v>-0.2307707904544965</ns0:v>
      </ns0:c>
      <ns0:c r="H50" s="78" t="n">
        <ns0:v>-0.08305999490391436</ns0:v>
      </ns0:c>
      <ns0:c r="I50" s="78" t="n">
        <ns0:v>-0.1386654740278588</ns0:v>
      </ns0:c>
      <ns0:c r="J50" s="77" t="n">
        <ns0:v>-0.954500181833097</ns0:v>
      </ns0:c>
      <ns0:c r="K50" s="78" t="n">
        <ns0:v>-0.09384289797134189</ns0:v>
      </ns0:c>
      <ns0:c r="L50" s="78" t="n">
        <ns0:v>-0.1661547395082948</ns0:v>
      </ns0:c>
      <ns0:c r="M50" s="78" t="n">
        <ns0:v>0.09890665394516893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-0.1038595072931203</ns0:v>
      </ns0:c>
      <ns0:c r="C51" s="78" t="n">
        <ns0:v>-0.05653934698094485</ns0:v>
      </ns0:c>
      <ns0:c r="D51" s="78" t="n">
        <ns0:v>0.0002894530526360987</ns0:v>
      </ns0:c>
      <ns0:c r="E51" s="78" t="n">
        <ns0:v>-0.1099229294278854</ns0:v>
      </ns0:c>
      <ns0:c r="F51" s="78" t="n">
        <ns0:v>-0.008836243031128026</ns0:v>
      </ns0:c>
      <ns0:c r="G51" s="78" t="n">
        <ns0:v>0.04793923702048961</ns0:v>
      </ns0:c>
      <ns0:c r="H51" s="78" t="n">
        <ns0:v>-0.1037842292799211</ns0:v>
      </ns0:c>
      <ns0:c r="I51" s="78" t="n">
        <ns0:v>-0.0358831931615353</ns0:v>
      </ns0:c>
      <ns0:c r="J51" s="78" t="n">
        <ns0:v>-0.03204505830687191</ns0:v>
      </ns0:c>
      <ns0:c r="K51" s="77" t="n">
        <ns0:v>-0.564144257004499</ns0:v>
      </ns0:c>
      <ns0:c r="L51" s="78" t="n">
        <ns0:v>-0.05725662840717676</ns0:v>
      </ns0:c>
      <ns0:c r="M51" s="78" t="n">
        <ns0:v>-0.003045479530372819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-0.2749523025338668</ns0:v>
      </ns0:c>
      <ns0:c r="C52" s="78" t="n">
        <ns0:v>0.1488538349908912</ns0:v>
      </ns0:c>
      <ns0:c r="D52" s="78" t="n">
        <ns0:v>-0.1045611873070054</ns0:v>
      </ns0:c>
      <ns0:c r="E52" s="78" t="n">
        <ns0:v>0.2636032761167657</ns0:v>
      </ns0:c>
      <ns0:c r="F52" s="78" t="n">
        <ns0:v>-0.1087213652604728</ns0:v>
      </ns0:c>
      <ns0:c r="G52" s="78" t="n">
        <ns0:v>-0.03997995531938445</ns0:v>
      </ns0:c>
      <ns0:c r="H52" s="78" t="n">
        <ns0:v>0.1464623579806435</ns0:v>
      </ns0:c>
      <ns0:c r="I52" s="78" t="n">
        <ns0:v>0.07134184222510742</ns0:v>
      </ns0:c>
      <ns0:c r="J52" s="78" t="n">
        <ns0:v>-0.1280366702068195</ns0:v>
      </ns0:c>
      <ns0:c r="K52" s="78" t="n">
        <ns0:v>-0.2232815212457366</ns0:v>
      </ns0:c>
      <ns0:c r="L52" s="77" t="n">
        <ns0:v>-0.8761553354149402</ns0:v>
      </ns0:c>
      <ns0:c r="M52" s="78" t="n">
        <ns0:v>0.08109566750836396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0.2417532132585533</ns0:v>
      </ns0:c>
      <ns0:c r="C53" s="78" t="n">
        <ns0:v>-0.1244410731995132</ns0:v>
      </ns0:c>
      <ns0:c r="D53" s="78" t="n">
        <ns0:v>-0.1496990801784113</ns0:v>
      </ns0:c>
      <ns0:c r="E53" s="78" t="n">
        <ns0:v>-0.3195828288502096</ns0:v>
      </ns0:c>
      <ns0:c r="F53" s="78" t="n">
        <ns0:v>-0.04633945766105617</ns0:v>
      </ns0:c>
      <ns0:c r="G53" s="78" t="n">
        <ns0:v>0.0651396719719811</ns0:v>
      </ns0:c>
      <ns0:c r="H53" s="78" t="n">
        <ns0:v>-0.09113745419192021</ns0:v>
      </ns0:c>
      <ns0:c r="I53" s="78" t="n">
        <ns0:v>-0.03327688412283998</ns0:v>
      </ns0:c>
      <ns0:c r="J53" s="78" t="n">
        <ns0:v>0.1855612522716009</ns0:v>
      </ns0:c>
      <ns0:c r="K53" s="78" t="n">
        <ns0:v>-0.03534534270199862</ns0:v>
      </ns0:c>
      <ns0:c r="L53" s="78" t="n">
        <ns0:v>0.02391827301211099</ns0:v>
      </ns0:c>
      <ns0:c r="M53" s="77" t="n">
        <ns0:v>-0.4163174272226027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21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55"/>
  <ns0:sheetViews>
    <ns0:sheetView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1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4" customHeight="1">
      <ns0:c r="A1" s="7" t="inlineStr">
        <ns0:is>
          <ns0:t>کشش‌های تقاضا | کوهرت 1401</ns0:t>
        </ns0:is>
      </ns0:c>
      <ns0:c r="B1" s="1" t="n"/>
      <ns0:c r="C1" s="1" t="n"/>
      <ns0:c r="D1" s="1" t="n"/>
      <ns0:c r="E1" s="1" t="n"/>
    </ns0:row>
    <ns0:row r="2" ht="24" customHeight="1">
      <ns0:c r="A2" s="11" t="inlineStr">
        <ns0:is>
          <ns0:t>QUAIDS + Mundlak CRE + S&amp;Y + CF  •  ضرایب ثابت در ۱۲ سال / ۸ کوهرت  •  مشتق مستقیم</ns0:t>
        </ns0:is>
      </ns0:c>
      <ns0:c r="B2" s="1" t="n"/>
      <ns0:c r="C2" s="1" t="n"/>
      <ns0:c r="D2" s="1" t="n"/>
      <ns0:c r="E2" s="1" t="n"/>
    </ns0:row>
    <ns0:row r="3"/>
    <ns0:row r="4" ht="27" customHeight="1">
      <ns0:c r="A4" s="15" t="inlineStr">
        <ns0:is>
          <ns0:t>کشش قیمتی خودی مارشالی (Own-price)</ns0:t>
        </ns0:is>
      </ns0:c>
      <ns0:c r="B4" s="1" t="n"/>
      <ns0:c r="C4" s="1" t="n"/>
      <ns0:c r="D4" s="19" t="inlineStr">
        <ns0:is>
          <ns0:t>کشش مخارج غذایی</ns0:t>
        </ns0:is>
      </ns0:c>
      <ns0:c r="E4" s="1" t="n"/>
    </ns0:row>
    <ns0:row r="5" ht="26" customHeight="1">
      <ns0:c r="A5" s="22" t="inlineStr">
        <ns0:is>
          <ns0:t>گروه کالایی</ns0:t>
        </ns0:is>
      </ns0:c>
      <ns0:c r="B5" s="22" t="inlineStr">
        <ns0:is>
          <ns0:t>B1</ns0:t>
        </ns0:is>
      </ns0:c>
      <ns0:c r="C5" s="22" t="inlineStr">
        <ns0:is>
          <ns0:t>B2</ns0:t>
        </ns0:is>
      </ns0:c>
      <ns0:c r="D5" s="22" t="inlineStr">
        <ns0:is>
          <ns0:t>B1</ns0:t>
        </ns0:is>
      </ns0:c>
      <ns0:c r="E5" s="22" t="inlineStr">
        <ns0:is>
          <ns0:t>B2</ns0:t>
        </ns0:is>
      </ns0:c>
    </ns0:row>
    <ns0:row r="6" ht="23" customHeight="1">
      <ns0:c r="A6" s="28" t="inlineStr">
        <ns0:is>
          <ns0:t>برنج</ns0:t>
        </ns0:is>
      </ns0:c>
      <ns0:c r="B6" s="68" t="n">
        <ns0:v>-1.0805</ns0:v>
      </ns0:c>
      <ns0:c r="C6" s="69" t="n">
        <ns0:v>-1.0782</ns0:v>
      </ns0:c>
      <ns0:c r="D6" s="70" t="n">
        <ns0:v>1.568</ns0:v>
      </ns0:c>
      <ns0:c r="E6" s="69" t="n">
        <ns0:v>1.6254</ns0:v>
      </ns0:c>
    </ns0:row>
    <ns0:row r="7" ht="23" customHeight="1">
      <ns0:c r="A7" s="28" t="inlineStr">
        <ns0:is>
          <ns0:t>نان و غلات</ns0:t>
        </ns0:is>
      </ns0:c>
      <ns0:c r="B7" s="68" t="n">
        <ns0:v>-0.5201</ns0:v>
      </ns0:c>
      <ns0:c r="C7" s="69" t="n">
        <ns0:v>-0.4608</ns0:v>
      </ns0:c>
      <ns0:c r="D7" s="70" t="n">
        <ns0:v>0.0041</ns0:v>
      </ns0:c>
      <ns0:c r="E7" s="69" t="n">
        <ns0:v>-0.1799</ns0:v>
      </ns0:c>
    </ns0:row>
    <ns0:row r="8" ht="23" customHeight="1">
      <ns0:c r="A8" s="28" t="inlineStr">
        <ns0:is>
          <ns0:t>گوشت</ns0:t>
        </ns0:is>
      </ns0:c>
      <ns0:c r="B8" s="68" t="n">
        <ns0:v>-0.9391</ns0:v>
      </ns0:c>
      <ns0:c r="C8" s="69" t="n">
        <ns0:v>-0.9503</ns0:v>
      </ns0:c>
      <ns0:c r="D8" s="70" t="n">
        <ns0:v>1.2378</ns0:v>
      </ns0:c>
      <ns0:c r="E8" s="69" t="n">
        <ns0:v>1.2556</ns0:v>
      </ns0:c>
    </ns0:row>
    <ns0:row r="9" ht="23" customHeight="1">
      <ns0:c r="A9" s="28" t="inlineStr">
        <ns0:is>
          <ns0:t>لبنیات و تخم‌مرغ</ns0:t>
        </ns0:is>
      </ns0:c>
      <ns0:c r="B9" s="68" t="n">
        <ns0:v>-0.8177</ns0:v>
      </ns0:c>
      <ns0:c r="C9" s="69" t="n">
        <ns0:v>-0.8104</ns0:v>
      </ns0:c>
      <ns0:c r="D9" s="70" t="n">
        <ns0:v>0.8618</ns0:v>
      </ns0:c>
      <ns0:c r="E9" s="69" t="n">
        <ns0:v>0.8391999999999999</ns0:v>
      </ns0:c>
    </ns0:row>
    <ns0:row r="10" ht="23" customHeight="1">
      <ns0:c r="A10" s="28" t="inlineStr">
        <ns0:is>
          <ns0:t>روغن و چربی</ns0:t>
        </ns0:is>
      </ns0:c>
      <ns0:c r="B10" s="68" t="n">
        <ns0:v>-0.5463</ns0:v>
      </ns0:c>
      <ns0:c r="C10" s="69" t="n">
        <ns0:v>-0.5494</ns0:v>
      </ns0:c>
      <ns0:c r="D10" s="70" t="n">
        <ns0:v>0.8441</ns0:v>
      </ns0:c>
      <ns0:c r="E10" s="69" t="n">
        <ns0:v>1.089</ns0:v>
      </ns0:c>
    </ns0:row>
    <ns0:row r="11" ht="23" customHeight="1">
      <ns0:c r="A11" s="28" t="inlineStr">
        <ns0:is>
          <ns0:t>میوه</ns0:t>
        </ns0:is>
      </ns0:c>
      <ns0:c r="B11" s="68" t="n">
        <ns0:v>-1.0668</ns0:v>
      </ns0:c>
      <ns0:c r="C11" s="69" t="n">
        <ns0:v>-1.0613</ns0:v>
      </ns0:c>
      <ns0:c r="D11" s="70" t="n">
        <ns0:v>1.366</ns0:v>
      </ns0:c>
      <ns0:c r="E11" s="69" t="n">
        <ns0:v>1.3906</ns0:v>
      </ns0:c>
    </ns0:row>
    <ns0:row r="12" ht="23" customHeight="1">
      <ns0:c r="A12" s="28" t="inlineStr">
        <ns0:is>
          <ns0:t>سبزیجات و سیب‌زمینی</ns0:t>
        </ns0:is>
      </ns0:c>
      <ns0:c r="B12" s="68" t="n">
        <ns0:v>-0.5052</ns0:v>
      </ns0:c>
      <ns0:c r="C12" s="69" t="n">
        <ns0:v>-0.4908</ns0:v>
      </ns0:c>
      <ns0:c r="D12" s="70" t="n">
        <ns0:v>0.7867</ns0:v>
      </ns0:c>
      <ns0:c r="E12" s="69" t="n">
        <ns0:v>0.729</ns0:v>
      </ns0:c>
    </ns0:row>
    <ns0:row r="13" ht="23" customHeight="1">
      <ns0:c r="A13" s="28" t="inlineStr">
        <ns0:is>
          <ns0:t>حبوبات</ns0:t>
        </ns0:is>
      </ns0:c>
      <ns0:c r="B13" s="68" t="n">
        <ns0:v>-0.6975</ns0:v>
      </ns0:c>
      <ns0:c r="C13" s="69" t="n">
        <ns0:v>-0.7212</ns0:v>
      </ns0:c>
      <ns0:c r="D13" s="70" t="n">
        <ns0:v>1.0441</ns0:v>
      </ns0:c>
      <ns0:c r="E13" s="69" t="n">
        <ns0:v>1.3123</ns0:v>
      </ns0:c>
    </ns0:row>
    <ns0:row r="14" ht="23" customHeight="1">
      <ns0:c r="A14" s="28" t="inlineStr">
        <ns0:is>
          <ns0:t>مغزها، خشکبار و خرما</ns0:t>
        </ns0:is>
      </ns0:c>
      <ns0:c r="B14" s="68" t="n">
        <ns0:v>-0.9266</ns0:v>
      </ns0:c>
      <ns0:c r="C14" s="69" t="n">
        <ns0:v>-0.9443</ns0:v>
      </ns0:c>
      <ns0:c r="D14" s="70" t="n">
        <ns0:v>2.2761</ns0:v>
      </ns0:c>
      <ns0:c r="E14" s="69" t="n">
        <ns0:v>1.6216</ns0:v>
      </ns0:c>
    </ns0:row>
    <ns0:row r="15" ht="23" customHeight="1">
      <ns0:c r="A15" s="28" t="inlineStr">
        <ns0:is>
          <ns0:t>قند، شیرینی و تنقلات</ns0:t>
        </ns0:is>
      </ns0:c>
      <ns0:c r="B15" s="68" t="n">
        <ns0:v>-0.5829</ns0:v>
      </ns0:c>
      <ns0:c r="C15" s="69" t="n">
        <ns0:v>-0.5806</ns0:v>
      </ns0:c>
      <ns0:c r="D15" s="70" t="n">
        <ns0:v>1.0391</ns0:v>
      </ns0:c>
      <ns0:c r="E15" s="69" t="n">
        <ns0:v>0.9997</ns0:v>
      </ns0:c>
    </ns0:row>
    <ns0:row r="16" ht="23" customHeight="1">
      <ns0:c r="A16" s="28" t="inlineStr">
        <ns0:is>
          <ns0:t>نوشیدنی بدون نوشابه</ns0:t>
        </ns0:is>
      </ns0:c>
      <ns0:c r="B16" s="68" t="n">
        <ns0:v>-0.8735000000000001</ns0:v>
      </ns0:c>
      <ns0:c r="C16" s="69" t="n">
        <ns0:v>-0.8842</ns0:v>
      </ns0:c>
      <ns0:c r="D16" s="70" t="n">
        <ns0:v>0.9673</ns0:v>
      </ns0:c>
      <ns0:c r="E16" s="69" t="n">
        <ns0:v>1.1814</ns0:v>
      </ns0:c>
    </ns0:row>
    <ns0:row r="17" ht="23" customHeight="1">
      <ns0:c r="A17" s="28" t="inlineStr">
        <ns0:is>
          <ns0:t>ادویه و چاشنی</ns0:t>
        </ns0:is>
      </ns0:c>
      <ns0:c r="B17" s="68" t="n">
        <ns0:v>-0.4206</ns0:v>
      </ns0:c>
      <ns0:c r="C17" s="69" t="n">
        <ns0:v>-0.417</ns0:v>
      </ns0:c>
      <ns0:c r="D17" s="70" t="n">
        <ns0:v>0.8738</ns0:v>
      </ns0:c>
      <ns0:c r="E17" s="69" t="n">
        <ns0:v>0.7157</ns0:v>
      </ns0:c>
    </ns0:row>
    <ns0:row r="18"/>
    <ns0:row r="19" ht="21" customHeight="1">
      <ns0:c r="A19" s="43" t="inlineStr">
        <ns0:is>
          <ns0:t>نقطهٔ ارزیابی: میانگین لگاریتم قیمت و مخارج، و میانگین کنترل‌ها در زیرنمونهٔ مربوط</ns0:t>
        </ns0:is>
      </ns0:c>
      <ns0:c r="B19" s="1" t="n"/>
      <ns0:c r="C19" s="1" t="n"/>
      <ns0:c r="D19" s="1" t="n"/>
      <ns0:c r="E19" s="1" t="n"/>
    </ns0:row>
    <ns0:row r="20" ht="22" customHeight="1">
      <ns0:c r="A20" s="45" t="inlineStr">
        <ns0:is>
          <ns0:t>منبع: https://github.com/sinaamiri9000-collab/paneldemand/blob/eadde5b/pilot/fixed_parameter_elasticities/report.md</ns0:t>
        </ns0:is>
      </ns0:c>
      <ns0:c r="B20" s="1" t="n"/>
      <ns0:c r="C20" s="1" t="n"/>
      <ns0:c r="D20" s="1" t="n"/>
      <ns0:c r="E20" s="1" t="n"/>
    </ns0:row>
    <ns0:row r="22" ht="24" customHeight="1">
      <ns0:c r="A22" s="43" t="inlineStr">
        <ns0:is>
          <ns0:t>ردیف: تقاضای گروه • ستون: قیمت گروه • قطر پررنگ: کشش خودی • سایر خانه‌ها: کشش متقاطع</ns0:t>
        </ns0:is>
      </ns0:c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</ns0:row>
    <ns0:row r="24" ht="28" customHeight="1">
      <ns0:c r="A24" s="71" t="inlineStr">
        <ns0:is>
          <ns0:t>ماتریس کامل کشش مارشالی ۱۲×۱۲ | B1</ns0:t>
        </ns0:is>
      </ns0:c>
      <ns0:c r="B24" s="1" t="n"/>
      <ns0:c r="C24" s="1" t="n"/>
      <ns0:c r="D24" s="1" t="n"/>
      <ns0:c r="E24" s="1" t="n"/>
      <ns0:c r="F24" s="1" t="n"/>
      <ns0:c r="G24" s="1" t="n"/>
      <ns0:c r="H24" s="1" t="n"/>
      <ns0:c r="I24" s="1" t="n"/>
      <ns0:c r="J24" s="1" t="n"/>
      <ns0:c r="K24" s="1" t="n"/>
      <ns0:c r="L24" s="1" t="n"/>
      <ns0:c r="M24" s="1" t="n"/>
    </ns0:row>
    <ns0:row r="25" ht="58" customHeight="1">
      <ns0:c r="A25" s="72" t="inlineStr">
        <ns0:is>
          <ns0:t>گروه تقاضا ↓ / گروه قیمت →</ns0:t>
        </ns0:is>
      </ns0:c>
      <ns0:c r="B25" s="72" t="inlineStr">
        <ns0:is>
          <ns0:t>برنج</ns0:t>
        </ns0:is>
      </ns0:c>
      <ns0:c r="C25" s="72" t="inlineStr">
        <ns0:is>
          <ns0:t>نان و غلات</ns0:t>
        </ns0:is>
      </ns0:c>
      <ns0:c r="D25" s="72" t="inlineStr">
        <ns0:is>
          <ns0:t>گوشت</ns0:t>
        </ns0:is>
      </ns0:c>
      <ns0:c r="E25" s="72" t="inlineStr">
        <ns0:is>
          <ns0:t>لبنیات و تخم‌مرغ</ns0:t>
        </ns0:is>
      </ns0:c>
      <ns0:c r="F25" s="72" t="inlineStr">
        <ns0:is>
          <ns0:t>روغن و چربی</ns0:t>
        </ns0:is>
      </ns0:c>
      <ns0:c r="G25" s="72" t="inlineStr">
        <ns0:is>
          <ns0:t>میوه</ns0:t>
        </ns0:is>
      </ns0:c>
      <ns0:c r="H25" s="72" t="inlineStr">
        <ns0:is>
          <ns0:t>سبزیجات و سیب‌زمینی</ns0:t>
        </ns0:is>
      </ns0:c>
      <ns0:c r="I25" s="72" t="inlineStr">
        <ns0:is>
          <ns0:t>حبوبات</ns0:t>
        </ns0:is>
      </ns0:c>
      <ns0:c r="J25" s="72" t="inlineStr">
        <ns0:is>
          <ns0:t>مغزها، خشکبار و خرما</ns0:t>
        </ns0:is>
      </ns0:c>
      <ns0:c r="K25" s="72" t="inlineStr">
        <ns0:is>
          <ns0:t>قند، شیرینی و تنقلات</ns0:t>
        </ns0:is>
      </ns0:c>
      <ns0:c r="L25" s="72" t="inlineStr">
        <ns0:is>
          <ns0:t>نوشیدنی بدون نوشابه</ns0:t>
        </ns0:is>
      </ns0:c>
      <ns0:c r="M25" s="72" t="inlineStr">
        <ns0:is>
          <ns0:t>ادویه و چاشنی</ns0:t>
        </ns0:is>
      </ns0:c>
    </ns0:row>
    <ns0:row r="26" ht="30" customHeight="1">
      <ns0:c r="A26" s="73" t="inlineStr">
        <ns0:is>
          <ns0:t>برنج</ns0:t>
        </ns0:is>
      </ns0:c>
      <ns0:c r="B26" s="74" t="n">
        <ns0:v>-1.080496595220973</ns0:v>
      </ns0:c>
      <ns0:c r="C26" s="75" t="n">
        <ns0:v>0.03392863111148803</ns0:v>
      </ns0:c>
      <ns0:c r="D26" s="75" t="n">
        <ns0:v>-0.1129212851301244</ns0:v>
      </ns0:c>
      <ns0:c r="E26" s="75" t="n">
        <ns0:v>0.02344926101683398</ns0:v>
      </ns0:c>
      <ns0:c r="F26" s="75" t="n">
        <ns0:v>-0.04160400400646008</ns0:v>
      </ns0:c>
      <ns0:c r="G26" s="75" t="n">
        <ns0:v>-0.08254958871918593</ns0:v>
      </ns0:c>
      <ns0:c r="H26" s="75" t="n">
        <ns0:v>-0.09620570200391895</ns0:v>
      </ns0:c>
      <ns0:c r="I26" s="75" t="n">
        <ns0:v>-0.02750445532143117</ns0:v>
      </ns0:c>
      <ns0:c r="J26" s="75" t="n">
        <ns0:v>-0.01139730711745358</ns0:v>
      </ns0:c>
      <ns0:c r="K26" s="75" t="n">
        <ns0:v>-0.09347423175790666</ns0:v>
      </ns0:c>
      <ns0:c r="L26" s="75" t="n">
        <ns0:v>-0.1259075208602482</ns0:v>
      </ns0:c>
      <ns0:c r="M26" s="75" t="n">
        <ns0:v>0.05252753783045955</ns0:v>
      </ns0:c>
    </ns0:row>
    <ns0:row r="27" ht="30" customHeight="1">
      <ns0:c r="A27" s="73" t="inlineStr">
        <ns0:is>
          <ns0:t>نان و غلات</ns0:t>
        </ns0:is>
      </ns0:c>
      <ns0:c r="B27" s="75" t="n">
        <ns0:v>0.1847354687808689</ns0:v>
      </ns0:c>
      <ns0:c r="C27" s="74" t="n">
        <ns0:v>-0.5201133209447968</ns0:v>
      </ns0:c>
      <ns0:c r="D27" s="75" t="n">
        <ns0:v>0.3826546178736336</ns0:v>
      </ns0:c>
      <ns0:c r="E27" s="75" t="n">
        <ns0:v>-0.1689813114978212</ns0:v>
      </ns0:c>
      <ns0:c r="F27" s="75" t="n">
        <ns0:v>0.03376068306227002</ns0:v>
      </ns0:c>
      <ns0:c r="G27" s="75" t="n">
        <ns0:v>0.05523291239057748</ns0:v>
      </ns0:c>
      <ns0:c r="H27" s="75" t="n">
        <ns0:v>-0.1137893332492179</ns0:v>
      </ns0:c>
      <ns0:c r="I27" s="75" t="n">
        <ns0:v>0.0651424944616123</ns0:v>
      </ns0:c>
      <ns0:c r="J27" s="75" t="n">
        <ns0:v>0.03223624678742879</ns0:v>
      </ns0:c>
      <ns0:c r="K27" s="75" t="n">
        <ns0:v>-0.008337988698521686</ns0:v>
      </ns0:c>
      <ns0:c r="L27" s="75" t="n">
        <ns0:v>0.1405114717602984</ns0:v>
      </ns0:c>
      <ns0:c r="M27" s="75" t="n">
        <ns0:v>-0.06287140733247294</ns0:v>
      </ns0:c>
    </ns0:row>
    <ns0:row r="28" ht="30" customHeight="1">
      <ns0:c r="A28" s="73" t="inlineStr">
        <ns0:is>
          <ns0:t>گوشت</ns0:t>
        </ns0:is>
      </ns0:c>
      <ns0:c r="B28" s="75" t="n">
        <ns0:v>0.003284334759857313</ns0:v>
      </ns0:c>
      <ns0:c r="C28" s="75" t="n">
        <ns0:v>0.02553601380230134</ns0:v>
      </ns0:c>
      <ns0:c r="D28" s="74" t="n">
        <ns0:v>-0.9391264380300539</ns0:v>
      </ns0:c>
      <ns0:c r="E28" s="75" t="n">
        <ns0:v>-0.01900244690305558</ns0:v>
      </ns0:c>
      <ns0:c r="F28" s="75" t="n">
        <ns0:v>-0.0805536885008763</ns0:v>
      </ns0:c>
      <ns0:c r="G28" s="75" t="n">
        <ns0:v>-0.005289496397899602</ns0:v>
      </ns0:c>
      <ns0:c r="H28" s="75" t="n">
        <ns0:v>-0.08820758021107981</ns0:v>
      </ns0:c>
      <ns0:c r="I28" s="75" t="n">
        <ns0:v>-0.0195243325686196</ns0:v>
      </ns0:c>
      <ns0:c r="J28" s="75" t="n">
        <ns0:v>-0.03341338357263982</ns0:v>
      </ns0:c>
      <ns0:c r="K28" s="75" t="n">
        <ns0:v>0.0006763122631121423</ns0:v>
      </ns0:c>
      <ns0:c r="L28" s="75" t="n">
        <ns0:v>-0.04341433067688406</ns0:v>
      </ns0:c>
      <ns0:c r="M28" s="75" t="n">
        <ns0:v>-0.04022549338228752</ns0:v>
      </ns0:c>
    </ns0:row>
    <ns0:row r="29" ht="30" customHeight="1">
      <ns0:c r="A29" s="73" t="inlineStr">
        <ns0:is>
          <ns0:t>لبنیات و تخم‌مرغ</ns0:t>
        </ns0:is>
      </ns0:c>
      <ns0:c r="B29" s="75" t="n">
        <ns0:v>0.09546155061986944</ns0:v>
      </ns0:c>
      <ns0:c r="C29" s="75" t="n">
        <ns0:v>-0.1651173059642312</ns0:v>
      </ns0:c>
      <ns0:c r="D29" s="75" t="n">
        <ns0:v>0.05726805717857935</ns0:v>
      </ns0:c>
      <ns0:c r="E29" s="74" t="n">
        <ns0:v>-0.8176780512568944</ns0:v>
      </ns0:c>
      <ns0:c r="F29" s="75" t="n">
        <ns0:v>0.0050973417170686</ns0:v>
      </ns0:c>
      <ns0:c r="G29" s="75" t="n">
        <ns0:v>0.03090905900128029</ns0:v>
      </ns0:c>
      <ns0:c r="H29" s="75" t="n">
        <ns0:v>-0.1345223250467588</ns0:v>
      </ns0:c>
      <ns0:c r="I29" s="75" t="n">
        <ns0:v>0.04033240696728971</ns0:v>
      </ns0:c>
      <ns0:c r="J29" s="75" t="n">
        <ns0:v>0.07880605716929621</ns0:v>
      </ns0:c>
      <ns0:c r="K29" s="75" t="n">
        <ns0:v>-0.0414710785230486</ns0:v>
      </ns0:c>
      <ns0:c r="L29" s="75" t="n">
        <ns0:v>0.0992387920667667</ns0:v>
      </ns0:c>
      <ns0:c r="M29" s="75" t="n">
        <ns0:v>-0.1071402863644891</ns0:v>
      </ns0:c>
    </ns0:row>
    <ns0:row r="30" ht="30" customHeight="1">
      <ns0:c r="A30" s="73" t="inlineStr">
        <ns0:is>
          <ns0:t>روغن و چربی</ns0:t>
        </ns0:is>
      </ns0:c>
      <ns0:c r="B30" s="75" t="n">
        <ns0:v>0.007698342109297407</ns0:v>
      </ns0:c>
      <ns0:c r="C30" s="75" t="n">
        <ns0:v>-0.0477280386635392</ns0:v>
      </ns0:c>
      <ns0:c r="D30" s="75" t="n">
        <ns0:v>-0.1650183014766733</ns0:v>
      </ns0:c>
      <ns0:c r="E30" s="75" t="n">
        <ns0:v>0.1416304030694064</ns0:v>
      </ns0:c>
      <ns0:c r="F30" s="74" t="n">
        <ns0:v>-0.5462899633958924</ns0:v>
      </ns0:c>
      <ns0:c r="G30" s="75" t="n">
        <ns0:v>-0.04245830620672732</ns0:v>
      </ns0:c>
      <ns0:c r="H30" s="75" t="n">
        <ns0:v>-0.07823456749796411</ns0:v>
      </ns0:c>
      <ns0:c r="I30" s="75" t="n">
        <ns0:v>-0.1099286685785296</ns0:v>
      </ns0:c>
      <ns0:c r="J30" s="75" t="n">
        <ns0:v>0.05147827611934262</ns0:v>
      </ns0:c>
      <ns0:c r="K30" s="75" t="n">
        <ns0:v>-0.01383625490325558</ns0:v>
      </ns0:c>
      <ns0:c r="L30" s="75" t="n">
        <ns0:v>-0.06893043478004167</ns0:v>
      </ns0:c>
      <ns0:c r="M30" s="75" t="n">
        <ns0:v>-0.001635216455270759</ns0:v>
      </ns0:c>
    </ns0:row>
    <ns0:row r="31" ht="30" customHeight="1">
      <ns0:c r="A31" s="73" t="inlineStr">
        <ns0:is>
          <ns0:t>میوه</ns0:t>
        </ns0:is>
      </ns0:c>
      <ns0:c r="B31" s="75" t="n">
        <ns0:v>-0.1649207436199385</ns0:v>
      </ns0:c>
      <ns0:c r="C31" s="75" t="n">
        <ns0:v>-0.003203589537259022</ns0:v>
      </ns0:c>
      <ns0:c r="D31" s="75" t="n">
        <ns0:v>-0.01559413569588896</ns0:v>
      </ns0:c>
      <ns0:c r="E31" s="75" t="n">
        <ns0:v>0.04825314272000191</ns0:v>
      </ns0:c>
      <ns0:c r="F31" s="75" t="n">
        <ns0:v>-0.09544493995258753</ns0:v>
      </ns0:c>
      <ns0:c r="G31" s="74" t="n">
        <ns0:v>-1.066784999358381</ns0:v>
      </ns0:c>
      <ns0:c r="H31" s="75" t="n">
        <ns0:v>0.121167686649174</ns0:v>
      </ns0:c>
      <ns0:c r="I31" s="75" t="n">
        <ns0:v>-0.05145304889846969</ns0:v>
      </ns0:c>
      <ns0:c r="J31" s="75" t="n">
        <ns0:v>-0.2008364042003211</ns0:v>
      </ns0:c>
      <ns0:c r="K31" s="75" t="n">
        <ns0:v>0.05291260500696908</ns0:v>
      </ns0:c>
      <ns0:c r="L31" s="75" t="n">
        <ns0:v>-0.03219146295843575</ns0:v>
      </ns0:c>
      <ns0:c r="M31" s="75" t="n">
        <ns0:v>0.02921416871201123</ns0:v>
      </ns0:c>
    </ns0:row>
    <ns0:row r="32" ht="30" customHeight="1">
      <ns0:c r="A32" s="73" t="inlineStr">
        <ns0:is>
          <ns0:t>سبزیجات و سیب‌زمینی</ns0:t>
        </ns0:is>
      </ns0:c>
      <ns0:c r="B32" s="75" t="n">
        <ns0:v>-0.01051698875475925</ns0:v>
      </ns0:c>
      <ns0:c r="C32" s="75" t="n">
        <ns0:v>-0.1239832183013381</ns0:v>
      </ns0:c>
      <ns0:c r="D32" s="75" t="n">
        <ns0:v>-0.05905469968379979</ns0:v>
      </ns0:c>
      <ns0:c r="E32" s="75" t="n">
        <ns0:v>-0.1264003010088942</ns0:v>
      </ns0:c>
      <ns0:c r="F32" s="75" t="n">
        <ns0:v>-0.0004632419919994854</ns0:v>
      </ns0:c>
      <ns0:c r="G32" s="75" t="n">
        <ns0:v>0.04494027379233163</ns0:v>
      </ns0:c>
      <ns0:c r="H32" s="74" t="n">
        <ns0:v>-0.5052069974981963</ns0:v>
      </ns0:c>
      <ns0:c r="I32" s="75" t="n">
        <ns0:v>-0.0004710693872870455</ns0:v>
      </ns0:c>
      <ns0:c r="J32" s="75" t="n">
        <ns0:v>0.01060947925606114</ns0:v>
      </ns0:c>
      <ns0:c r="K32" s="75" t="n">
        <ns0:v>-0.06618481175232203</ns0:v>
      </ns0:c>
      <ns0:c r="L32" s="75" t="n">
        <ns0:v>0.05411379380690513</ns0:v>
      </ns0:c>
      <ns0:c r="M32" s="75" t="n">
        <ns0:v>-0.02488314020382281</ns0:v>
      </ns0:c>
    </ns0:row>
    <ns0:row r="33" ht="30" customHeight="1">
      <ns0:c r="A33" s="73" t="inlineStr">
        <ns0:is>
          <ns0:t>حبوبات</ns0:t>
        </ns0:is>
      </ns0:c>
      <ns0:c r="B33" s="75" t="n">
        <ns0:v>-0.06793087840646318</ns0:v>
      </ns0:c>
      <ns0:c r="C33" s="75" t="n">
        <ns0:v>0.01159598377398672</ns0:v>
      </ns0:c>
      <ns0:c r="D33" s="75" t="n">
        <ns0:v>0.04258243106772163</ns0:v>
      </ns0:c>
      <ns0:c r="E33" s="75" t="n">
        <ns0:v>0.2572660132266173</ns0:v>
      </ns0:c>
      <ns0:c r="F33" s="75" t="n">
        <ns0:v>-0.1030791884242108</ns0:v>
      </ns0:c>
      <ns0:c r="G33" s="75" t="n">
        <ns0:v>-0.06057436859398377</ns0:v>
      </ns0:c>
      <ns0:c r="H33" s="75" t="n">
        <ns0:v>-0.1292839872430499</ns0:v>
      </ns0:c>
      <ns0:c r="I33" s="74" t="n">
        <ns0:v>-0.6974652830419512</ns0:v>
      </ns0:c>
      <ns0:c r="J33" s="75" t="n">
        <ns0:v>-0.1233127705557248</ns0:v>
      </ns0:c>
      <ns0:c r="K33" s="75" t="n">
        <ns0:v>-0.1738746409044013</ns0:v>
      </ns0:c>
      <ns0:c r="L33" s="75" t="n">
        <ns0:v>0.02828498787286145</ns0:v>
      </ns0:c>
      <ns0:c r="M33" s="75" t="n">
        <ns0:v>0.003239569879671995</ns0:v>
      </ns0:c>
    </ns0:row>
    <ns0:row r="34" ht="30" customHeight="1">
      <ns0:c r="A34" s="73" t="inlineStr">
        <ns0:is>
          <ns0:t>مغزها، خشکبار و خرما</ns0:t>
        </ns0:is>
      </ns0:c>
      <ns0:c r="B34" s="75" t="n">
        <ns0:v>-0.1545654742601271</ns0:v>
      </ns0:c>
      <ns0:c r="C34" s="75" t="n">
        <ns0:v>-0.05337849858541639</ns0:v>
      </ns0:c>
      <ns0:c r="D34" s="75" t="n">
        <ns0:v>-0.4737943368946155</ns0:v>
      </ns0:c>
      <ns0:c r="E34" s="75" t="n">
        <ns0:v>0.09792547858216333</ns0:v>
      </ns0:c>
      <ns0:c r="F34" s="75" t="n">
        <ns0:v>-0.01525207493008974</ns0:v>
      </ns0:c>
      <ns0:c r="G34" s="75" t="n">
        <ns0:v>-0.2615202732271145</ns0:v>
      </ns0:c>
      <ns0:c r="H34" s="75" t="n">
        <ns0:v>-0.1593924498030901</ns0:v>
      </ns0:c>
      <ns0:c r="I34" s="75" t="n">
        <ns0:v>-0.1862950840832298</ns0:v>
      </ns0:c>
      <ns0:c r="J34" s="74" t="n">
        <ns0:v>-0.926597522388988</ns0:v>
      </ns0:c>
      <ns0:c r="K34" s="75" t="n">
        <ns0:v>-0.1303599248008993</ns0:v>
      </ns0:c>
      <ns0:c r="L34" s="75" t="n">
        <ns0:v>-0.2042063867476308</ns0:v>
      </ns0:c>
      <ns0:c r="M34" s="75" t="n">
        <ns0:v>0.09741856972132858</ns0:v>
      </ns0:c>
    </ns0:row>
    <ns0:row r="35" ht="30" customHeight="1">
      <ns0:c r="A35" s="73" t="inlineStr">
        <ns0:is>
          <ns0:t>قند، شیرینی و تنقلات</ns0:t>
        </ns0:is>
      </ns0:c>
      <ns0:c r="B35" s="75" t="n">
        <ns0:v>-0.117290089891849</ns0:v>
      </ns0:c>
      <ns0:c r="C35" s="75" t="n">
        <ns0:v>-0.05146619288540184</ns0:v>
      </ns0:c>
      <ns0:c r="D35" s="75" t="n">
        <ns0:v>-0.0055030060780313</ns0:v>
      </ns0:c>
      <ns0:c r="E35" s="75" t="n">
        <ns0:v>-0.1114222240039947</ns0:v>
      </ns0:c>
      <ns0:c r="F35" s="75" t="n">
        <ns0:v>-0.02014426134032579</ns0:v>
      </ns0:c>
      <ns0:c r="G35" s="75" t="n">
        <ns0:v>0.04387087292787106</ns0:v>
      </ns0:c>
      <ns0:c r="H35" s="75" t="n">
        <ns0:v>-0.1028537773245016</ns0:v>
      </ns0:c>
      <ns0:c r="I35" s="75" t="n">
        <ns0:v>-0.04186435197608147</ns0:v>
      </ns0:c>
      <ns0:c r="J35" s="75" t="n">
        <ns0:v>-0.01895828373514466</ns0:v>
      </ns0:c>
      <ns0:c r="K35" s="74" t="n">
        <ns0:v>-0.5829439748681895</ns0:v>
      </ns0:c>
      <ns0:c r="L35" s="75" t="n">
        <ns0:v>-0.05405222817883191</ns0:v>
      </ns0:c>
      <ns0:c r="M35" s="75" t="n">
        <ns0:v>-0.0002400267159363715</ns0:v>
      </ns0:c>
    </ns0:row>
    <ns0:row r="36" ht="30" customHeight="1">
      <ns0:c r="A36" s="73" t="inlineStr">
        <ns0:is>
          <ns0:t>نوشیدنی بدون نوشابه</ns0:t>
        </ns0:is>
      </ns0:c>
      <ns0:c r="B36" s="75" t="n">
        <ns0:v>-0.2553653820750916</ns0:v>
      </ns0:c>
      <ns0:c r="C36" s="75" t="n">
        <ns0:v>0.1665663217688204</ns0:v>
      </ns0:c>
      <ns0:c r="D36" s="75" t="n">
        <ns0:v>-0.06348231704298493</ns0:v>
      </ns0:c>
      <ns0:c r="E36" s="75" t="n">
        <ns0:v>0.3013671543696448</ns0:v>
      </ns0:c>
      <ns0:c r="F36" s="75" t="n">
        <ns0:v>-0.100382087285253</ns0:v>
      </ns0:c>
      <ns0:c r="G36" s="75" t="n">
        <ns0:v>-0.03309091399359674</ns0:v>
      </ns0:c>
      <ns0:c r="H36" s="75" t="n">
        <ns0:v>0.1772157028082704</ns0:v>
      </ns0:c>
      <ns0:c r="I36" s="75" t="n">
        <ns0:v>0.08988955715661429</ns0:v>
      </ns0:c>
      <ns0:c r="J36" s="75" t="n">
        <ns0:v>-0.1406319508399458</ns0:v>
      </ns0:c>
      <ns0:c r="K36" s="75" t="n">
        <ns0:v>-0.2185453310166565</ns0:v>
      </ns0:c>
      <ns0:c r="L36" s="74" t="n">
        <ns0:v>-0.8735047689037104</ns0:v>
      </ns0:c>
      <ns0:c r="M36" s="75" t="n">
        <ns0:v>0.0946972495613326</ns0:v>
      </ns0:c>
    </ns0:row>
    <ns0:row r="37" ht="30" customHeight="1">
      <ns0:c r="A37" s="73" t="inlineStr">
        <ns0:is>
          <ns0:t>ادویه و چاشنی</ns0:t>
        </ns0:is>
      </ns0:c>
      <ns0:c r="B37" s="75" t="n">
        <ns0:v>0.2305585729471102</ns0:v>
      </ns0:c>
      <ns0:c r="C37" s="75" t="n">
        <ns0:v>-0.1551108280014902</ns0:v>
      </ns0:c>
      <ns0:c r="D37" s="75" t="n">
        <ns0:v>-0.1829255696417678</ns0:v>
      </ns0:c>
      <ns0:c r="E37" s="75" t="n">
        <ns0:v>-0.3523062733213564</ns0:v>
      </ns0:c>
      <ns0:c r="F37" s="75" t="n">
        <ns0:v>-0.05314241214790457</ns0:v>
      </ns0:c>
      <ns0:c r="G37" s="75" t="n">
        <ns0:v>0.05833499942615223</ns0:v>
      </ns0:c>
      <ns0:c r="H37" s="75" t="n">
        <ns0:v>-0.1181272099051276</ns0:v>
      </ns0:c>
      <ns0:c r="I37" s="75" t="n">
        <ns0:v>-0.03856565127929729</ns0:v>
      </ns0:c>
      <ns0:c r="J37" s="75" t="n">
        <ns0:v>0.194233651592356</ns0:v>
      </ns0:c>
      <ns0:c r="K37" s="75" t="n">
        <ns0:v>-0.04680318382810399</ns0:v>
      </ns0:c>
      <ns0:c r="L37" s="75" t="n">
        <ns0:v>0.01592137949188623</ns0:v>
      </ns0:c>
      <ns0:c r="M37" s="74" t="n">
        <ns0:v>-0.4205812042859299</ns0:v>
      </ns0:c>
    </ns0:row>
    <ns0:row r="40" ht="28" customHeight="1">
      <ns0:c r="A40" s="76" t="inlineStr">
        <ns0:is>
          <ns0:t>ماتریس کامل کشش مارشالی ۱۲×۱۲ | B2</ns0:t>
        </ns0:is>
      </ns0:c>
      <ns0:c r="B40" s="1" t="n"/>
      <ns0:c r="C40" s="1" t="n"/>
      <ns0:c r="D40" s="1" t="n"/>
      <ns0:c r="E40" s="1" t="n"/>
      <ns0:c r="F40" s="1" t="n"/>
      <ns0:c r="G40" s="1" t="n"/>
      <ns0:c r="H40" s="1" t="n"/>
      <ns0:c r="I40" s="1" t="n"/>
      <ns0:c r="J40" s="1" t="n"/>
      <ns0:c r="K40" s="1" t="n"/>
      <ns0:c r="L40" s="1" t="n"/>
      <ns0:c r="M40" s="1" t="n"/>
    </ns0:row>
    <ns0:row r="41" ht="58" customHeight="1">
      <ns0:c r="A41" s="72" t="inlineStr">
        <ns0:is>
          <ns0:t>گروه تقاضا ↓ / گروه قیمت →</ns0:t>
        </ns0:is>
      </ns0:c>
      <ns0:c r="B41" s="72" t="inlineStr">
        <ns0:is>
          <ns0:t>برنج</ns0:t>
        </ns0:is>
      </ns0:c>
      <ns0:c r="C41" s="72" t="inlineStr">
        <ns0:is>
          <ns0:t>نان و غلات</ns0:t>
        </ns0:is>
      </ns0:c>
      <ns0:c r="D41" s="72" t="inlineStr">
        <ns0:is>
          <ns0:t>گوشت</ns0:t>
        </ns0:is>
      </ns0:c>
      <ns0:c r="E41" s="72" t="inlineStr">
        <ns0:is>
          <ns0:t>لبنیات و تخم‌مرغ</ns0:t>
        </ns0:is>
      </ns0:c>
      <ns0:c r="F41" s="72" t="inlineStr">
        <ns0:is>
          <ns0:t>روغن و چربی</ns0:t>
        </ns0:is>
      </ns0:c>
      <ns0:c r="G41" s="72" t="inlineStr">
        <ns0:is>
          <ns0:t>میوه</ns0:t>
        </ns0:is>
      </ns0:c>
      <ns0:c r="H41" s="72" t="inlineStr">
        <ns0:is>
          <ns0:t>سبزیجات و سیب‌زمینی</ns0:t>
        </ns0:is>
      </ns0:c>
      <ns0:c r="I41" s="72" t="inlineStr">
        <ns0:is>
          <ns0:t>حبوبات</ns0:t>
        </ns0:is>
      </ns0:c>
      <ns0:c r="J41" s="72" t="inlineStr">
        <ns0:is>
          <ns0:t>مغزها، خشکبار و خرما</ns0:t>
        </ns0:is>
      </ns0:c>
      <ns0:c r="K41" s="72" t="inlineStr">
        <ns0:is>
          <ns0:t>قند، شیرینی و تنقلات</ns0:t>
        </ns0:is>
      </ns0:c>
      <ns0:c r="L41" s="72" t="inlineStr">
        <ns0:is>
          <ns0:t>نوشیدنی بدون نوشابه</ns0:t>
        </ns0:is>
      </ns0:c>
      <ns0:c r="M41" s="72" t="inlineStr">
        <ns0:is>
          <ns0:t>ادویه و چاشنی</ns0:t>
        </ns0:is>
      </ns0:c>
    </ns0:row>
    <ns0:row r="42" ht="30" customHeight="1">
      <ns0:c r="A42" s="73" t="inlineStr">
        <ns0:is>
          <ns0:t>برنج</ns0:t>
        </ns0:is>
      </ns0:c>
      <ns0:c r="B42" s="77" t="n">
        <ns0:v>-1.078174373071875</ns0:v>
      </ns0:c>
      <ns0:c r="C42" s="78" t="n">
        <ns0:v>0.01925904076854025</ns0:v>
      </ns0:c>
      <ns0:c r="D42" s="78" t="n">
        <ns0:v>-0.1306560422627921</ns0:v>
      </ns0:c>
      <ns0:c r="E42" s="78" t="n">
        <ns0:v>0.01460305129897032</ns0:v>
      </ns0:c>
      <ns0:c r="F42" s="78" t="n">
        <ns0:v>-0.04144919973639411</ns0:v>
      </ns0:c>
      <ns0:c r="G42" s="78" t="n">
        <ns0:v>-0.08467016291121168</ns0:v>
      </ns0:c>
      <ns0:c r="H42" s="78" t="n">
        <ns0:v>-0.1066598985341201</ns0:v>
      </ns0:c>
      <ns0:c r="I42" s="78" t="n">
        <ns0:v>-0.02923000279054963</ns0:v>
      </ns0:c>
      <ns0:c r="J42" s="78" t="n">
        <ns0:v>-0.008267485586834865</ns0:v>
      </ns0:c>
      <ns0:c r="K42" s="78" t="n">
        <ns0:v>-0.09392710101603187</ns0:v>
      </ns0:c>
      <ns0:c r="L42" s="78" t="n">
        <ns0:v>-0.1308068297079166</ns0:v>
      </ns0:c>
      <ns0:c r="M42" s="78" t="n">
        <ns0:v>0.05067803548245613</ns0:v>
      </ns0:c>
    </ns0:row>
    <ns0:row r="43" ht="30" customHeight="1">
      <ns0:c r="A43" s="73" t="inlineStr">
        <ns0:is>
          <ns0:t>نان و غلات</ns0:t>
        </ns0:is>
      </ns0:c>
      <ns0:c r="B43" s="78" t="n">
        <ns0:v>0.1766713342233573</ns0:v>
      </ns0:c>
      <ns0:c r="C43" s="77" t="n">
        <ns0:v>-0.4607597847937707</ns0:v>
      </ns0:c>
      <ns0:c r="D43" s="78" t="n">
        <ns0:v>0.4248912930783649</ns0:v>
      </ns0:c>
      <ns0:c r="E43" s="78" t="n">
        <ns0:v>-0.1404139592515991</ns0:v>
      </ns0:c>
      <ns0:c r="F43" s="78" t="n">
        <ns0:v>0.01445774537268238</ns0:v>
      </ns0:c>
      <ns0:c r="G43" s="78" t="n">
        <ns0:v>0.05805617507128737</ns0:v>
      </ns0:c>
      <ns0:c r="H43" s="78" t="n">
        <ns0:v>-0.08846350673134852</ns0:v>
      </ns0:c>
      <ns0:c r="I43" s="78" t="n">
        <ns0:v>0.07093655942134842</ns0:v>
      </ns0:c>
      <ns0:c r="J43" s="78" t="n">
        <ns0:v>0.04972919178453</ns0:v>
      </ns0:c>
      <ns0:c r="K43" s="78" t="n">
        <ns0:v>-0.002237387139760052</ns0:v>
      </ns0:c>
      <ns0:c r="L43" s="78" t="n">
        <ns0:v>0.1524584884627004</ns0:v>
      </ns0:c>
      <ns0:c r="M43" s="78" t="n">
        <ns0:v>-0.05160987849924688</ns0:v>
      </ns0:c>
    </ns0:row>
    <ns0:row r="44" ht="30" customHeight="1">
      <ns0:c r="A44" s="73" t="inlineStr">
        <ns0:is>
          <ns0:t>گوشت</ns0:t>
        </ns0:is>
      </ns0:c>
      <ns0:c r="B44" s="78" t="n">
        <ns0:v>0.001201425136454468</ns0:v>
      </ns0:c>
      <ns0:c r="C44" s="78" t="n">
        <ns0:v>0.02145917000997247</ns0:v>
      </ns0:c>
      <ns0:c r="D44" s="77" t="n">
        <ns0:v>-0.9503298361489102</ns0:v>
      </ns0:c>
      <ns0:c r="E44" s="78" t="n">
        <ns0:v>-0.02399234484438686</ns0:v>
      </ns0:c>
      <ns0:c r="F44" s="78" t="n">
        <ns0:v>-0.0718446597440154</ns0:v>
      </ns0:c>
      <ns0:c r="G44" s="78" t="n">
        <ns0:v>-0.004174616381431233</ns0:v>
      </ns0:c>
      <ns0:c r="H44" s="78" t="n">
        <ns0:v>-0.08946001968981068</ns0:v>
      </ns0:c>
      <ns0:c r="I44" s="78" t="n">
        <ns0:v>-0.01944752782428542</ns0:v>
      </ns0:c>
      <ns0:c r="J44" s="78" t="n">
        <ns0:v>-0.03367524259477798</ns0:v>
      </ns0:c>
      <ns0:c r="K44" s="78" t="n">
        <ns0:v>-0.004375926165413787</ns0:v>
      </ns0:c>
      <ns0:c r="L44" s="78" t="n">
        <ns0:v>-0.04158906637152278</ns0:v>
      </ns0:c>
      <ns0:c r="M44" s="78" t="n">
        <ns0:v>-0.04069709885028176</ns0:v>
      </ns0:c>
    </ns0:row>
    <ns0:row r="45" ht="30" customHeight="1">
      <ns0:c r="A45" s="73" t="inlineStr">
        <ns0:is>
          <ns0:t>لبنیات و تخم‌مرغ</ns0:t>
        </ns0:is>
      </ns0:c>
      <ns0:c r="B45" s="78" t="n">
        <ns0:v>0.09707049764824571</ns0:v>
      </ns0:c>
      <ns0:c r="C45" s="78" t="n">
        <ns0:v>-0.1589732138402462</ns0:v>
      </ns0:c>
      <ns0:c r="D45" s="78" t="n">
        <ns0:v>0.05822173155870847</ns0:v>
      </ns0:c>
      <ns0:c r="E45" s="77" t="n">
        <ns0:v>-0.8104019477455321</ns0:v>
      </ns0:c>
      <ns0:c r="F45" s="78" t="n">
        <ns0:v>-0.007812659349645474</ns0:v>
      </ns0:c>
      <ns0:c r="G45" s="78" t="n">
        <ns0:v>0.03083832989197311</ns0:v>
      </ns0:c>
      <ns0:c r="H45" s="78" t="n">
        <ns0:v>-0.1300751978854639</ns0:v>
      </ns0:c>
      <ns0:c r="I45" s="78" t="n">
        <ns0:v>0.04058051322736466</ns0:v>
      </ns0:c>
      <ns0:c r="J45" s="78" t="n">
        <ns0:v>0.0943995422372275</ns0:v>
      </ns0:c>
      <ns0:c r="K45" s="78" t="n">
        <ns0:v>-0.04587063037319179</ns0:v>
      </ns0:c>
      <ns0:c r="L45" s="78" t="n">
        <ns0:v>0.09908040952919055</ns0:v>
      </ns0:c>
      <ns0:c r="M45" s="78" t="n">
        <ns0:v>-0.1033489629692868</ns0:v>
      </ns0:c>
    </ns0:row>
    <ns0:row r="46" ht="30" customHeight="1">
      <ns0:c r="A46" s="73" t="inlineStr">
        <ns0:is>
          <ns0:t>روغن و چربی</ns0:t>
        </ns0:is>
      </ns0:c>
      <ns0:c r="B46" s="78" t="n">
        <ns0:v>0.004882786845012619</ns0:v>
      </ns0:c>
      <ns0:c r="C46" s="78" t="n">
        <ns0:v>-0.0935519645551376</ns0:v>
      </ns0:c>
      <ns0:c r="D46" s="78" t="n">
        <ns0:v>-0.1974910646089715</ns0:v>
      </ns0:c>
      <ns0:c r="E46" s="78" t="n">
        <ns0:v>0.09135237250334016</ns0:v>
      </ns0:c>
      <ns0:c r="F46" s="77" t="n">
        <ns0:v>-0.5493793343353057</ns0:v>
      </ns0:c>
      <ns0:c r="G46" s="78" t="n">
        <ns0:v>-0.05296944015382966</ns0:v>
      </ns0:c>
      <ns0:c r="H46" s="78" t="n">
        <ns0:v>-0.1229246277615663</ns0:v>
      </ns0:c>
      <ns0:c r="I46" s="78" t="n">
        <ns0:v>-0.1237420916842664</ns0:v>
      </ns0:c>
      <ns0:c r="J46" s="78" t="n">
        <ns0:v>0.03058204414077805</ns0:v>
      </ns0:c>
      <ns0:c r="K46" s="78" t="n">
        <ns0:v>-0.01760073164238426</ns0:v>
      </ns0:c>
      <ns0:c r="L46" s="78" t="n">
        <ns0:v>-0.07797000131256512</ns0:v>
      </ns0:c>
      <ns0:c r="M46" s="78" t="n">
        <ns0:v>-0.01328027046672083</ns0:v>
      </ns0:c>
    </ns0:row>
    <ns0:row r="47" ht="30" customHeight="1">
      <ns0:c r="A47" s="73" t="inlineStr">
        <ns0:is>
          <ns0:t>میوه</ns0:t>
        </ns0:is>
      </ns0:c>
      <ns0:c r="B47" s="78" t="n">
        <ns0:v>-0.1646793763897511</ns0:v>
      </ns0:c>
      <ns0:c r="C47" s="78" t="n">
        <ns0:v>-0.0105774537018992</ns0:v>
      </ns0:c>
      <ns0:c r="D47" s="78" t="n">
        <ns0:v>-0.01237157019377058</ns0:v>
      </ns0:c>
      <ns0:c r="E47" s="78" t="n">
        <ns0:v>0.04328805375161589</ns0:v>
      </ns0:c>
      <ns0:c r="F47" s="78" t="n">
        <ns0:v>-0.1008406680065631</ns0:v>
      </ns0:c>
      <ns0:c r="G47" s="77" t="n">
        <ns0:v>-1.061328236940285</ns0:v>
      </ns0:c>
      <ns0:c r="H47" s="78" t="n">
        <ns0:v>0.1103036676745096</ns0:v>
      </ns0:c>
      <ns0:c r="I47" s="78" t="n">
        <ns0:v>-0.05214197148264072</ns0:v>
      </ns0:c>
      <ns0:c r="J47" s="78" t="n">
        <ns0:v>-0.2037678923510155</ns0:v>
      </ns0:c>
      <ns0:c r="K47" s="78" t="n">
        <ns0:v>0.05046161292429701</ns0:v>
      </ns0:c>
      <ns0:c r="L47" s="78" t="n">
        <ns0:v>-0.0310307239695562</ns0:v>
      </ns0:c>
      <ns0:c r="M47" s="78" t="n">
        <ns0:v>0.02607365606796382</ns0:v>
      </ns0:c>
    </ns0:row>
    <ns0:row r="48" ht="30" customHeight="1">
      <ns0:c r="A48" s="73" t="inlineStr">
        <ns0:is>
          <ns0:t>سبزیجات و سیب‌زمینی</ns0:t>
        </ns0:is>
      </ns0:c>
      <ns0:c r="B48" s="78" t="n">
        <ns0:v>-0.01099143674372325</ns0:v>
      </ns0:c>
      <ns0:c r="C48" s="78" t="n">
        <ns0:v>-0.117628722528704</ns0:v>
      </ns0:c>
      <ns0:c r="D48" s="78" t="n">
        <ns0:v>-0.04419209866757888</ns0:v>
      </ns0:c>
      <ns0:c r="E48" s="78" t="n">
        <ns0:v>-0.1172844486146298</ns0:v>
      </ns0:c>
      <ns0:c r="F48" s="78" t="n">
        <ns0:v>0.0006257164577320527</ns0:v>
      </ns0:c>
      <ns0:c r="G48" s="78" t="n">
        <ns0:v>0.04603835754790733</ns0:v>
      </ns0:c>
      <ns0:c r="H48" s="77" t="n">
        <ns0:v>-0.4908202676278127</ns0:v>
      </ns0:c>
      <ns0:c r="I48" s="78" t="n">
        <ns0:v>0.002546013787814589</ns0:v>
      </ns0:c>
      <ns0:c r="J48" s="78" t="n">
        <ns0:v>0.007349980050816296</ns0:v>
      </ns0:c>
      <ns0:c r="K48" s="78" t="n">
        <ns0:v>-0.05959807334850893</ns0:v>
      </ns0:c>
      <ns0:c r="L48" s="78" t="n">
        <ns0:v>0.05505027041159533</ns0:v>
      </ns0:c>
      <ns0:c r="M48" s="78" t="n">
        <ns0:v>-0.0221162681357069</ns0:v>
      </ns0:c>
    </ns0:row>
    <ns0:row r="49" ht="30" customHeight="1">
      <ns0:c r="A49" s="73" t="inlineStr">
        <ns0:is>
          <ns0:t>حبوبات</ns0:t>
        </ns0:is>
      </ns0:c>
      <ns0:c r="B49" s="78" t="n">
        <ns0:v>-0.08190674960855482</ns0:v>
      </ns0:c>
      <ns0:c r="C49" s="78" t="n">
        <ns0:v>-0.02511813000021225</ns0:v>
      </ns0:c>
      <ns0:c r="D49" s="78" t="n">
        <ns0:v>-0.01509059529038429</ns0:v>
      </ns0:c>
      <ns0:c r="E49" s="78" t="n">
        <ns0:v>0.2114083130254673</ns0:v>
      </ns0:c>
      <ns0:c r="F49" s="78" t="n">
        <ns0:v>-0.1165272423937497</ns0:v>
      </ns0:c>
      <ns0:c r="G49" s="78" t="n">
        <ns0:v>-0.07354068679425552</ns0:v>
      </ns0:c>
      <ns0:c r="H49" s="78" t="n">
        <ns0:v>-0.1573879061978805</ns0:v>
      </ns0:c>
      <ns0:c r="I49" s="77" t="n">
        <ns0:v>-0.7212065372656744</ns0:v>
      </ns0:c>
      <ns0:c r="J49" s="78" t="n">
        <ns0:v>-0.1116106244743547</ns0:v>
      </ns0:c>
      <ns0:c r="K49" s="78" t="n">
        <ns0:v>-0.1822718434814691</ns0:v>
      </ns0:c>
      <ns0:c r="L49" s="78" t="n">
        <ns0:v>0.0108425115263669</ns0:v>
      </ns0:c>
      <ns0:c r="M49" s="78" t="n">
        <ns0:v>-0.006253585100606345</ns0:v>
      </ns0:c>
    </ns0:row>
    <ns0:row r="50" ht="30" customHeight="1">
      <ns0:c r="A50" s="73" t="inlineStr">
        <ns0:is>
          <ns0:t>مغزها، خشکبار و خرما</ns0:t>
        </ns0:is>
      </ns0:c>
      <ns0:c r="B50" s="78" t="n">
        <ns0:v>-0.109801851371246</ns0:v>
      </ns0:c>
      <ns0:c r="C50" s="78" t="n">
        <ns0:v>0.02162805372249385</ns0:v>
      </ns0:c>
      <ns0:c r="D50" s="78" t="n">
        <ns0:v>-0.3155706858690691</ns0:v>
      </ns0:c>
      <ns0:c r="E50" s="78" t="n">
        <ns0:v>0.2304958439091673</ns0:v>
      </ns0:c>
      <ns0:c r="F50" s="78" t="n">
        <ns0:v>0.01221687649923266</ns0:v>
      </ns0:c>
      <ns0:c r="G50" s="78" t="n">
        <ns0:v>-0.2363664398468907</ns0:v>
      </ns0:c>
      <ns0:c r="H50" s="78" t="n">
        <ns0:v>-0.0777441989227519</ns0:v>
      </ns0:c>
      <ns0:c r="I50" s="78" t="n">
        <ns0:v>-0.1440861847726267</ns0:v>
      </ns0:c>
      <ns0:c r="J50" s="77" t="n">
        <ns0:v>-0.9442595379441321</ns0:v>
      </ns0:c>
      <ns0:c r="K50" s="78" t="n">
        <ns0:v>-0.09707348520737448</ns0:v>
      </ns0:c>
      <ns0:c r="L50" s="78" t="n">
        <ns0:v>-0.1650743124323527</ns0:v>
      </ns0:c>
      <ns0:c r="M50" s="78" t="n">
        <ns0:v>0.1105774489005443</ns0:v>
      </ns0:c>
    </ns0:row>
    <ns0:row r="51" ht="30" customHeight="1">
      <ns0:c r="A51" s="73" t="inlineStr">
        <ns0:is>
          <ns0:t>قند، شیرینی و تنقلات</ns0:t>
        </ns0:is>
      </ns0:c>
      <ns0:c r="B51" s="78" t="n">
        <ns0:v>-0.1008548885336125</ns0:v>
      </ns0:c>
      <ns0:c r="C51" s="78" t="n">
        <ns0:v>-0.05160565876994247</ns0:v>
      </ns0:c>
      <ns0:c r="D51" s="78" t="n">
        <ns0:v>-0.003798499645532361</ns0:v>
      </ns0:c>
      <ns0:c r="E51" s="78" t="n">
        <ns0:v>-0.1069978093946652</ns0:v>
      </ns0:c>
      <ns0:c r="F51" s="78" t="n">
        <ns0:v>-0.009356984541935813</ns0:v>
      </ns0:c>
      <ns0:c r="G51" s="78" t="n">
        <ns0:v>0.04664789673369153</ns0:v>
      </ns0:c>
      <ns0:c r="H51" s="78" t="n">
        <ns0:v>-0.1005604469045546</ns0:v>
      </ns0:c>
      <ns0:c r="I51" s="78" t="n">
        <ns0:v>-0.03515023225344285</ns0:v>
      </ns0:c>
      <ns0:c r="J51" s="78" t="n">
        <ns0:v>-0.0305373929776624</ns0:v>
      </ns0:c>
      <ns0:c r="K51" s="77" t="n">
        <ns0:v>-0.5805504030135582</ns0:v>
      </ns0:c>
      <ns0:c r="L51" s="78" t="n">
        <ns0:v>-0.05440508873892256</ns0:v>
      </ns0:c>
      <ns0:c r="M51" s="78" t="n">
        <ns0:v>-0.002130957735034275</ns0:v>
      </ns0:c>
    </ns0:row>
    <ns0:row r="52" ht="30" customHeight="1">
      <ns0:c r="A52" s="73" t="inlineStr">
        <ns0:is>
          <ns0:t>نوشیدنی بدون نوشابه</ns0:t>
        </ns0:is>
      </ns0:c>
      <ns0:c r="B52" s="78" t="n">
        <ns0:v>-0.2784428390979514</ns0:v>
      </ns0:c>
      <ns0:c r="C52" s="78" t="n">
        <ns0:v>0.1453232756409533</ns0:v>
      </ns0:c>
      <ns0:c r="D52" s="78" t="n">
        <ns0:v>-0.1038943717926633</ns0:v>
      </ns0:c>
      <ns0:c r="E52" s="78" t="n">
        <ns0:v>0.2631098919952789</ns0:v>
      </ns0:c>
      <ns0:c r="F52" s="78" t="n">
        <ns0:v>-0.1094024984417449</ns0:v>
      </ns0:c>
      <ns0:c r="G52" s="78" t="n">
        <ns0:v>-0.04202158066040172</ns0:v>
      </ns0:c>
      <ns0:c r="H52" s="78" t="n">
        <ns0:v>0.1468274071125358</ns0:v>
      </ns0:c>
      <ns0:c r="I52" s="78" t="n">
        <ns0:v>0.07380570720367642</ns0:v>
      </ns0:c>
      <ns0:c r="J52" s="78" t="n">
        <ns0:v>-0.1314087187182971</ns0:v>
      </ns0:c>
      <ns0:c r="K52" s="78" t="n">
        <ns0:v>-0.2295020837690046</ns0:v>
      </ns0:c>
      <ns0:c r="L52" s="77" t="n">
        <ns0:v>-0.8842333627155102</ns0:v>
      </ns0:c>
      <ns0:c r="M52" s="78" t="n">
        <ns0:v>0.08540525646492492</ns0:v>
      </ns0:c>
    </ns0:row>
    <ns0:row r="53" ht="30" customHeight="1">
      <ns0:c r="A53" s="73" t="inlineStr">
        <ns0:is>
          <ns0:t>ادویه و چاشنی</ns0:t>
        </ns0:is>
      </ns0:c>
      <ns0:c r="B53" s="78" t="n">
        <ns0:v>0.241332928236095</ns0:v>
      </ns0:c>
      <ns0:c r="C53" s="78" t="n">
        <ns0:v>-0.1292094761102336</ns0:v>
      </ns0:c>
      <ns0:c r="D53" s="78" t="n">
        <ns0:v>-0.1481001716669419</ns0:v>
      </ns0:c>
      <ns0:c r="E53" s="78" t="n">
        <ns0:v>-0.3211151302127718</ns0:v>
      </ns0:c>
      <ns0:c r="F53" s="78" t="n">
        <ns0:v>-0.04708139616299409</ns0:v>
      </ns0:c>
      <ns0:c r="G53" s="78" t="n">
        <ns0:v>0.06411444548108486</ns0:v>
      </ns0:c>
      <ns0:c r="H53" s="78" t="n">
        <ns0:v>-0.09271335567813373</ns0:v>
      </ns0:c>
      <ns0:c r="I53" s="78" t="n">
        <ns0:v>-0.03349502721375898</ns0:v>
      </ns0:c>
      <ns0:c r="J53" s="78" t="n">
        <ns0:v>0.1851721555848799</ns0:v>
      </ns0:c>
      <ns0:c r="K53" s="78" t="n">
        <ns0:v>-0.03541196516995301</ns0:v>
      </ns0:c>
      <ns0:c r="L53" s="78" t="n">
        <ns0:v>0.02265606369546886</ns0:v>
      </ns0:c>
      <ns0:c r="M53" s="77" t="n">
        <ns0:v>-0.4170262015681723</ns0:v>
      </ns0:c>
    </ns0:row>
    <ns0:row r="55" ht="24" customHeight="1">
      <ns0:c r="A55" s="43" t="inlineStr">
        <ns0:is>
          <ns0:t>اعداد ماتریس با دقت کامل ذخیره و با چهار رقم اعشار نمایش داده می‌شوند؛ ضرایب و نقاط مرجع عین نتایج قبلی‌اند.</ns0:t>
        </ns0:is>
      </ns0:c>
      <ns0:c r="B55" s="1" t="n"/>
      <ns0:c r="C55" s="1" t="n"/>
      <ns0:c r="D55" s="1" t="n"/>
      <ns0:c r="E55" s="1" t="n"/>
      <ns0:c r="F55" s="1" t="n"/>
      <ns0:c r="G55" s="1" t="n"/>
      <ns0:c r="H55" s="1" t="n"/>
      <ns0:c r="I55" s="1" t="n"/>
      <ns0:c r="J55" s="1" t="n"/>
      <ns0:c r="K55" s="1" t="n"/>
      <ns0:c r="L55" s="1" t="n"/>
      <ns0:c r="M55" s="1" t="n"/>
    </ns0:row>
  </ns0:sheetData>
  <ns0:mergeCells count="10">
    <ns0:mergeCell ref="A20:E20"/>
    <ns0:mergeCell ref="A2:E2"/>
    <ns0:mergeCell ref="A22:M22"/>
    <ns0:mergeCell ref="A40:M40"/>
    <ns0:mergeCell ref="A19:E19"/>
    <ns0:mergeCell ref="A1:E1"/>
    <ns0:mergeCell ref="D4:E4"/>
    <ns0:mergeCell ref="A55:M55"/>
    <ns0:mergeCell ref="A4:C4"/>
    <ns0:mergeCell ref="A24:M24"/>
  </ns0:mergeCells>
  <ns0:pageMargins left="0.7" right="0.7" top="0.75" bottom="0.75" header="0.3" footer="0.3"/>
  <ns0:pageSetup orientation="landscape" paperSize="8" fitToHeight="0" fitToWidth="1"/>
</ns0:worksheet>
</file>

<file path=xl/worksheets/sheet22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M280"/>
  <ns0:sheetViews>
    <ns0:sheetView workbookViewId="0">
      <ns0:pane ySplit="5" topLeftCell="A6" activePane="bottomLeft" state="frozen"/>
      <ns0:selection activeCell="A1" sqref="A1"/>
    </ns0:sheetView>
  </ns0:sheetViews>
  <ns0:sheetFormatPr baseColWidth="8" defaultRowHeight="15"/>
  <ns0:cols>
    <ns0:col width="30" customWidth="1" min="1" max="1"/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</ns0:cols>
  <ns0:sheetData>
    <ns0:row r="1" ht="36" customHeight="1">
      <ns0:c r="A1" s="6" t="inlineStr">
        <ns0:is>
          <ns0:t>خلاصهٔ دامنهٔ تغییر کشش‌ها | ۱۲ سال و ۸ کوهرت</ns0:t>
        </ns0:is>
      </ns0:c>
      <ns0:c r="B1" s="1" t="n"/>
      <ns0:c r="C1" s="1" t="n"/>
      <ns0:c r="D1" s="1" t="n"/>
      <ns0:c r="E1" s="1" t="n"/>
      <ns0:c r="F1" s="1" t="n"/>
      <ns0:c r="G1" s="1" t="n"/>
      <ns0:c r="H1" s="1" t="n"/>
      <ns0:c r="I1" s="1" t="n"/>
    </ns0:row>
    <ns0:row r="2" ht="24" customHeight="1">
      <ns0:c r="A2" s="11" t="inlineStr">
        <ns0:is>
          <ns0:t>کمینه، بیشینه و دامنه از شیت‌های سال/کوهرت محاسبه می‌شوند؛ ضرایب B1 و B2 در تمام نقاط ثابت‌اند.</ns0:t>
        </ns0:is>
      </ns0:c>
      <ns0:c r="B2" s="1" t="n"/>
      <ns0:c r="C2" s="1" t="n"/>
      <ns0:c r="D2" s="1" t="n"/>
      <ns0:c r="E2" s="1" t="n"/>
      <ns0:c r="F2" s="1" t="n"/>
      <ns0:c r="G2" s="1" t="n"/>
      <ns0:c r="H2" s="1" t="n"/>
      <ns0:c r="I2" s="1" t="n"/>
    </ns0:row>
    <ns0:row r="3"/>
    <ns0:row r="4" ht="27" customHeight="1">
      <ns0:c r="A4" s="15" t="inlineStr">
        <ns0:is>
          <ns0:t>سالانه • کشش قیمتی خودی | B1</ns0:t>
        </ns0:is>
      </ns0:c>
      <ns0:c r="B4" s="1" t="n"/>
      <ns0:c r="C4" s="1" t="n"/>
      <ns0:c r="D4" s="1" t="n"/>
      <ns0:c r="F4" s="55" t="inlineStr">
        <ns0:is>
          <ns0:t>سالانه • کشش قیمتی خودی | B2</ns0:t>
        </ns0:is>
      </ns0:c>
      <ns0:c r="G4" s="1" t="n"/>
      <ns0:c r="H4" s="1" t="n"/>
      <ns0:c r="I4" s="1" t="n"/>
    </ns0:row>
    <ns0:row r="5" ht="23" customHeight="1">
      <ns0:c r="A5" s="46" t="inlineStr">
        <ns0:is>
          <ns0:t>گروه کالایی</ns0:t>
        </ns0:is>
      </ns0:c>
      <ns0:c r="B5" s="46" t="inlineStr">
        <ns0:is>
          <ns0:t>کمینه</ns0:t>
        </ns0:is>
      </ns0:c>
      <ns0:c r="C5" s="46" t="inlineStr">
        <ns0:is>
          <ns0:t>بیشینه</ns0:t>
        </ns0:is>
      </ns0:c>
      <ns0:c r="D5" s="46" t="inlineStr">
        <ns0:is>
          <ns0:t>دامنه</ns0:t>
        </ns0:is>
      </ns0:c>
      <ns0:c r="F5" s="57" t="inlineStr">
        <ns0:is>
          <ns0:t>گروه کالایی</ns0:t>
        </ns0:is>
      </ns0:c>
      <ns0:c r="G5" s="57" t="inlineStr">
        <ns0:is>
          <ns0:t>کمینه</ns0:t>
        </ns0:is>
      </ns0:c>
      <ns0:c r="H5" s="57" t="inlineStr">
        <ns0:is>
          <ns0:t>بیشینه</ns0:t>
        </ns0:is>
      </ns0:c>
      <ns0:c r="I5" s="57" t="inlineStr">
        <ns0:is>
          <ns0:t>دامنه</ns0:t>
        </ns0:is>
      </ns0:c>
    </ns0:row>
    <ns0:row r="6" ht="22" customHeight="1">
      <ns0:c r="A6" t="inlineStr">
        <ns0:is>
          <ns0:t>برنج</ns0:t>
        </ns0:is>
      </ns0:c>
      <ns0:c r="B6" s="68">
        <ns0:f>MIN('سال 1392'!B6,'سال 1393'!B6,'سال 1394'!B6,'سال 1395'!B6,'سال 1396'!B6,'سال 1397'!B6,'سال 1398'!B6,'سال 1399'!B6,'سال 1400'!B6,'سال 1401'!B6,'سال 1402'!B6,'سال 1403'!B6)</ns0:f>
        <ns0:v>-1.0822</ns0:v>
      </ns0:c>
      <ns0:c r="C6" s="68">
        <ns0:f>MAX('سال 1392'!B6,'سال 1393'!B6,'سال 1394'!B6,'سال 1395'!B6,'سال 1396'!B6,'سال 1397'!B6,'سال 1398'!B6,'سال 1399'!B6,'سال 1400'!B6,'سال 1401'!B6,'سال 1402'!B6,'سال 1403'!B6)</ns0:f>
        <ns0:v>-1.0737</ns0:v>
      </ns0:c>
      <ns0:c r="D6" s="79">
        <ns0:f>C6-B6</ns0:f>
        <ns0:v>0.008499999999999952</ns0:v>
      </ns0:c>
      <ns0:c r="F6" t="inlineStr">
        <ns0:is>
          <ns0:t>برنج</ns0:t>
        </ns0:is>
      </ns0:c>
      <ns0:c r="G6" s="69">
        <ns0:f>MIN('سال 1392'!C6,'سال 1393'!C6,'سال 1394'!C6,'سال 1395'!C6,'سال 1396'!C6,'سال 1397'!C6,'سال 1398'!C6,'سال 1399'!C6,'سال 1400'!C6,'سال 1401'!C6,'سال 1402'!C6,'سال 1403'!C6)</ns0:f>
        <ns0:v>-1.0809</ns0:v>
      </ns0:c>
      <ns0:c r="H6" s="69">
        <ns0:f>MAX('سال 1392'!C6,'سال 1393'!C6,'سال 1394'!C6,'سال 1395'!C6,'سال 1396'!C6,'سال 1397'!C6,'سال 1398'!C6,'سال 1399'!C6,'سال 1400'!C6,'سال 1401'!C6,'سال 1402'!C6,'سال 1403'!C6)</ns0:f>
        <ns0:v>-1.0705</ns0:v>
      </ns0:c>
      <ns0:c r="I6" s="79">
        <ns0:f>H6-G6</ns0:f>
        <ns0:v>0.010399999999999965</ns0:v>
      </ns0:c>
    </ns0:row>
    <ns0:row r="7" ht="22" customHeight="1">
      <ns0:c r="A7" t="inlineStr">
        <ns0:is>
          <ns0:t>نان و غلات</ns0:t>
        </ns0:is>
      </ns0:c>
      <ns0:c r="B7" s="68">
        <ns0:f>MIN('سال 1392'!B7,'سال 1393'!B7,'سال 1394'!B7,'سال 1395'!B7,'سال 1396'!B7,'سال 1397'!B7,'سال 1398'!B7,'سال 1399'!B7,'سال 1400'!B7,'سال 1401'!B7,'سال 1402'!B7,'سال 1403'!B7)</ns0:f>
        <ns0:v>-0.7459</ns0:v>
      </ns0:c>
      <ns0:c r="C7" s="68">
        <ns0:f>MAX('سال 1392'!B7,'سال 1393'!B7,'سال 1394'!B7,'سال 1395'!B7,'سال 1396'!B7,'سال 1397'!B7,'سال 1398'!B7,'سال 1399'!B7,'سال 1400'!B7,'سال 1401'!B7,'سال 1402'!B7,'سال 1403'!B7)</ns0:f>
        <ns0:v>-0.4368</ns0:v>
      </ns0:c>
      <ns0:c r="D7" s="79">
        <ns0:f>C7-B7</ns0:f>
        <ns0:v>0.3091</ns0:v>
      </ns0:c>
      <ns0:c r="F7" t="inlineStr">
        <ns0:is>
          <ns0:t>نان و غلات</ns0:t>
        </ns0:is>
      </ns0:c>
      <ns0:c r="G7" s="69">
        <ns0:f>MIN('سال 1392'!C7,'سال 1393'!C7,'سال 1394'!C7,'سال 1395'!C7,'سال 1396'!C7,'سال 1397'!C7,'سال 1398'!C7,'سال 1399'!C7,'سال 1400'!C7,'سال 1401'!C7,'سال 1402'!C7,'سال 1403'!C7)</ns0:f>
        <ns0:v>-0.72</ns0:v>
      </ns0:c>
      <ns0:c r="H7" s="69">
        <ns0:f>MAX('سال 1392'!C7,'سال 1393'!C7,'سال 1394'!C7,'سال 1395'!C7,'سال 1396'!C7,'سال 1397'!C7,'سال 1398'!C7,'سال 1399'!C7,'سال 1400'!C7,'سال 1401'!C7,'سال 1402'!C7,'سال 1403'!C7)</ns0:f>
        <ns0:v>-0.3696</ns0:v>
      </ns0:c>
      <ns0:c r="I7" s="79">
        <ns0:f>H7-G7</ns0:f>
        <ns0:v>0.3504</ns0:v>
      </ns0:c>
    </ns0:row>
    <ns0:row r="8" ht="22" customHeight="1">
      <ns0:c r="A8" t="inlineStr">
        <ns0:is>
          <ns0:t>گوشت</ns0:t>
        </ns0:is>
      </ns0:c>
      <ns0:c r="B8" s="68">
        <ns0:f>MIN('سال 1392'!B8,'سال 1393'!B8,'سال 1394'!B8,'سال 1395'!B8,'سال 1396'!B8,'سال 1397'!B8,'سال 1398'!B8,'سال 1399'!B8,'سال 1400'!B8,'سال 1401'!B8,'سال 1402'!B8,'سال 1403'!B8)</ns0:f>
        <ns0:v>-0.9461</ns0:v>
      </ns0:c>
      <ns0:c r="C8" s="68">
        <ns0:f>MAX('سال 1392'!B8,'سال 1393'!B8,'سال 1394'!B8,'سال 1395'!B8,'سال 1396'!B8,'سال 1397'!B8,'سال 1398'!B8,'سال 1399'!B8,'سال 1400'!B8,'سال 1401'!B8,'سال 1402'!B8,'سال 1403'!B8)</ns0:f>
        <ns0:v>-0.9072</ns0:v>
      </ns0:c>
      <ns0:c r="D8" s="79">
        <ns0:f>C8-B8</ns0:f>
        <ns0:v>0.038900000000000046</ns0:v>
      </ns0:c>
      <ns0:c r="F8" t="inlineStr">
        <ns0:is>
          <ns0:t>گوشت</ns0:t>
        </ns0:is>
      </ns0:c>
      <ns0:c r="G8" s="69">
        <ns0:f>MIN('سال 1392'!C8,'سال 1393'!C8,'سال 1394'!C8,'سال 1395'!C8,'سال 1396'!C8,'سال 1397'!C8,'سال 1398'!C8,'سال 1399'!C8,'سال 1400'!C8,'سال 1401'!C8,'سال 1402'!C8,'سال 1403'!C8)</ns0:f>
        <ns0:v>-0.9565</ns0:v>
      </ns0:c>
      <ns0:c r="H8" s="69">
        <ns0:f>MAX('سال 1392'!C8,'سال 1393'!C8,'سال 1394'!C8,'سال 1395'!C8,'سال 1396'!C8,'سال 1397'!C8,'سال 1398'!C8,'سال 1399'!C8,'سال 1400'!C8,'سال 1401'!C8,'سال 1402'!C8,'سال 1403'!C8)</ns0:f>
        <ns0:v>-0.9183</ns0:v>
      </ns0:c>
      <ns0:c r="I8" s="79">
        <ns0:f>H8-G8</ns0:f>
        <ns0:v>0.03820000000000001</ns0:v>
      </ns0:c>
    </ns0:row>
    <ns0:row r="9" ht="22" customHeight="1">
      <ns0:c r="A9" t="inlineStr">
        <ns0:is>
          <ns0:t>لبنیات و تخم‌مرغ</ns0:t>
        </ns0:is>
      </ns0:c>
      <ns0:c r="B9" s="68">
        <ns0:f>MIN('سال 1392'!B9,'سال 1393'!B9,'سال 1394'!B9,'سال 1395'!B9,'سال 1396'!B9,'سال 1397'!B9,'سال 1398'!B9,'سال 1399'!B9,'سال 1400'!B9,'سال 1401'!B9,'سال 1402'!B9,'سال 1403'!B9)</ns0:f>
        <ns0:v>-0.8264</ns0:v>
      </ns0:c>
      <ns0:c r="C9" s="68">
        <ns0:f>MAX('سال 1392'!B9,'سال 1393'!B9,'سال 1394'!B9,'سال 1395'!B9,'سال 1396'!B9,'سال 1397'!B9,'سال 1398'!B9,'سال 1399'!B9,'سال 1400'!B9,'سال 1401'!B9,'سال 1402'!B9,'سال 1403'!B9)</ns0:f>
        <ns0:v>-0.7824</ns0:v>
      </ns0:c>
      <ns0:c r="D9" s="79">
        <ns0:f>C9-B9</ns0:f>
        <ns0:v>0.04400000000000004</ns0:v>
      </ns0:c>
      <ns0:c r="F9" t="inlineStr">
        <ns0:is>
          <ns0:t>لبنیات و تخم‌مرغ</ns0:t>
        </ns0:is>
      </ns0:c>
      <ns0:c r="G9" s="69">
        <ns0:f>MIN('سال 1392'!C9,'سال 1393'!C9,'سال 1394'!C9,'سال 1395'!C9,'سال 1396'!C9,'سال 1397'!C9,'سال 1398'!C9,'سال 1399'!C9,'سال 1400'!C9,'سال 1401'!C9,'سال 1402'!C9,'سال 1403'!C9)</ns0:f>
        <ns0:v>-0.8195</ns0:v>
      </ns0:c>
      <ns0:c r="H9" s="69">
        <ns0:f>MAX('سال 1392'!C9,'سال 1393'!C9,'سال 1394'!C9,'سال 1395'!C9,'سال 1396'!C9,'سال 1397'!C9,'سال 1398'!C9,'سال 1399'!C9,'سال 1400'!C9,'سال 1401'!C9,'سال 1402'!C9,'سال 1403'!C9)</ns0:f>
        <ns0:v>-0.7772</ns0:v>
      </ns0:c>
      <ns0:c r="I9" s="79">
        <ns0:f>H9-G9</ns0:f>
        <ns0:v>0.042300000000000004</ns0:v>
      </ns0:c>
    </ns0:row>
    <ns0:row r="10" ht="22" customHeight="1">
      <ns0:c r="A10" t="inlineStr">
        <ns0:is>
          <ns0:t>روغن و چربی</ns0:t>
        </ns0:is>
      </ns0:c>
      <ns0:c r="B10" s="68">
        <ns0:f>MIN('سال 1392'!B10,'سال 1393'!B10,'سال 1394'!B10,'سال 1395'!B10,'سال 1396'!B10,'سال 1397'!B10,'سال 1398'!B10,'سال 1399'!B10,'سال 1400'!B10,'سال 1401'!B10,'سال 1402'!B10,'سال 1403'!B10)</ns0:f>
        <ns0:v>-0.6102</ns0:v>
      </ns0:c>
      <ns0:c r="C10" s="68">
        <ns0:f>MAX('سال 1392'!B10,'سال 1393'!B10,'سال 1394'!B10,'سال 1395'!B10,'سال 1396'!B10,'سال 1397'!B10,'سال 1398'!B10,'سال 1399'!B10,'سال 1400'!B10,'سال 1401'!B10,'سال 1402'!B10,'سال 1403'!B10)</ns0:f>
        <ns0:v>-0.385</ns0:v>
      </ns0:c>
      <ns0:c r="D10" s="79">
        <ns0:f>C10-B10</ns0:f>
        <ns0:v>0.22519999999999996</ns0:v>
      </ns0:c>
      <ns0:c r="F10" t="inlineStr">
        <ns0:is>
          <ns0:t>روغن و چربی</ns0:t>
        </ns0:is>
      </ns0:c>
      <ns0:c r="G10" s="69">
        <ns0:f>MIN('سال 1392'!C10,'سال 1393'!C10,'سال 1394'!C10,'سال 1395'!C10,'سال 1396'!C10,'سال 1397'!C10,'سال 1398'!C10,'سال 1399'!C10,'سال 1400'!C10,'سال 1401'!C10,'سال 1402'!C10,'سال 1403'!C10)</ns0:f>
        <ns0:v>-0.6157</ns0:v>
      </ns0:c>
      <ns0:c r="H10" s="69">
        <ns0:f>MAX('سال 1392'!C10,'سال 1393'!C10,'سال 1394'!C10,'سال 1395'!C10,'سال 1396'!C10,'سال 1397'!C10,'سال 1398'!C10,'سال 1399'!C10,'سال 1400'!C10,'سال 1401'!C10,'سال 1402'!C10,'سال 1403'!C10)</ns0:f>
        <ns0:v>-0.3792</ns0:v>
      </ns0:c>
      <ns0:c r="I10" s="79">
        <ns0:f>H10-G10</ns0:f>
        <ns0:v>0.23650000000000004</ns0:v>
      </ns0:c>
    </ns0:row>
    <ns0:row r="11" ht="22" customHeight="1">
      <ns0:c r="A11" t="inlineStr">
        <ns0:is>
          <ns0:t>میوه</ns0:t>
        </ns0:is>
      </ns0:c>
      <ns0:c r="B11" s="68">
        <ns0:f>MIN('سال 1392'!B11,'سال 1393'!B11,'سال 1394'!B11,'سال 1395'!B11,'سال 1396'!B11,'سال 1397'!B11,'سال 1398'!B11,'سال 1399'!B11,'سال 1400'!B11,'سال 1401'!B11,'سال 1402'!B11,'سال 1403'!B11)</ns0:f>
        <ns0:v>-1.1068</ns0:v>
      </ns0:c>
      <ns0:c r="C11" s="68">
        <ns0:f>MAX('سال 1392'!B11,'سال 1393'!B11,'سال 1394'!B11,'سال 1395'!B11,'سال 1396'!B11,'سال 1397'!B11,'سال 1398'!B11,'سال 1399'!B11,'سال 1400'!B11,'سال 1401'!B11,'سال 1402'!B11,'سال 1403'!B11)</ns0:f>
        <ns0:v>-1.0188</ns0:v>
      </ns0:c>
      <ns0:c r="D11" s="79">
        <ns0:f>C11-B11</ns0:f>
        <ns0:v>0.08800000000000008</ns0:v>
      </ns0:c>
      <ns0:c r="F11" t="inlineStr">
        <ns0:is>
          <ns0:t>میوه</ns0:t>
        </ns0:is>
      </ns0:c>
      <ns0:c r="G11" s="69">
        <ns0:f>MIN('سال 1392'!C11,'سال 1393'!C11,'سال 1394'!C11,'سال 1395'!C11,'سال 1396'!C11,'سال 1397'!C11,'سال 1398'!C11,'سال 1399'!C11,'سال 1400'!C11,'سال 1401'!C11,'سال 1402'!C11,'سال 1403'!C11)</ns0:f>
        <ns0:v>-1.101</ns0:v>
      </ns0:c>
      <ns0:c r="H11" s="69">
        <ns0:f>MAX('سال 1392'!C11,'سال 1393'!C11,'سال 1394'!C11,'سال 1395'!C11,'سال 1396'!C11,'سال 1397'!C11,'سال 1398'!C11,'سال 1399'!C11,'سال 1400'!C11,'سال 1401'!C11,'سال 1402'!C11,'سال 1403'!C11)</ns0:f>
        <ns0:v>-1.0137</ns0:v>
      </ns0:c>
      <ns0:c r="I11" s="79">
        <ns0:f>H11-G11</ns0:f>
        <ns0:v>0.08729999999999993</ns0:v>
      </ns0:c>
    </ns0:row>
    <ns0:row r="12" ht="22" customHeight="1">
      <ns0:c r="A12" t="inlineStr">
        <ns0:is>
          <ns0:t>سبزیجات و سیب‌زمینی</ns0:t>
        </ns0:is>
      </ns0:c>
      <ns0:c r="B12" s="68">
        <ns0:f>MIN('سال 1392'!B12,'سال 1393'!B12,'سال 1394'!B12,'سال 1395'!B12,'سال 1396'!B12,'سال 1397'!B12,'سال 1398'!B12,'سال 1399'!B12,'سال 1400'!B12,'سال 1401'!B12,'سال 1402'!B12,'سال 1403'!B12)</ns0:f>
        <ns0:v>-0.5169</ns0:v>
      </ns0:c>
      <ns0:c r="C12" s="68">
        <ns0:f>MAX('سال 1392'!B12,'سال 1393'!B12,'سال 1394'!B12,'سال 1395'!B12,'سال 1396'!B12,'سال 1397'!B12,'سال 1398'!B12,'سال 1399'!B12,'سال 1400'!B12,'سال 1401'!B12,'سال 1402'!B12,'سال 1403'!B12)</ns0:f>
        <ns0:v>-0.3446</ns0:v>
      </ns0:c>
      <ns0:c r="D12" s="79">
        <ns0:f>C12-B12</ns0:f>
        <ns0:v>0.1723</ns0:v>
      </ns0:c>
      <ns0:c r="F12" t="inlineStr">
        <ns0:is>
          <ns0:t>سبزیجات و سیب‌زمینی</ns0:t>
        </ns0:is>
      </ns0:c>
      <ns0:c r="G12" s="69">
        <ns0:f>MIN('سال 1392'!C12,'سال 1393'!C12,'سال 1394'!C12,'سال 1395'!C12,'سال 1396'!C12,'سال 1397'!C12,'سال 1398'!C12,'سال 1399'!C12,'سال 1400'!C12,'سال 1401'!C12,'سال 1402'!C12,'سال 1403'!C12)</ns0:f>
        <ns0:v>-0.5036</ns0:v>
      </ns0:c>
      <ns0:c r="H12" s="69">
        <ns0:f>MAX('سال 1392'!C12,'سال 1393'!C12,'سال 1394'!C12,'سال 1395'!C12,'سال 1396'!C12,'سال 1397'!C12,'سال 1398'!C12,'سال 1399'!C12,'سال 1400'!C12,'سال 1401'!C12,'سال 1402'!C12,'سال 1403'!C12)</ns0:f>
        <ns0:v>-0.3322</ns0:v>
      </ns0:c>
      <ns0:c r="I12" s="79">
        <ns0:f>H12-G12</ns0:f>
        <ns0:v>0.17140000000000005</ns0:v>
      </ns0:c>
    </ns0:row>
    <ns0:row r="13" ht="22" customHeight="1">
      <ns0:c r="A13" t="inlineStr">
        <ns0:is>
          <ns0:t>حبوبات</ns0:t>
        </ns0:is>
      </ns0:c>
      <ns0:c r="B13" s="68">
        <ns0:f>MIN('سال 1392'!B13,'سال 1393'!B13,'سال 1394'!B13,'سال 1395'!B13,'سال 1396'!B13,'سال 1397'!B13,'سال 1398'!B13,'سال 1399'!B13,'سال 1400'!B13,'سال 1401'!B13,'سال 1402'!B13,'سال 1403'!B13)</ns0:f>
        <ns0:v>-0.7141</ns0:v>
      </ns0:c>
      <ns0:c r="C13" s="68">
        <ns0:f>MAX('سال 1392'!B13,'سال 1393'!B13,'سال 1394'!B13,'سال 1395'!B13,'سال 1396'!B13,'سال 1397'!B13,'سال 1398'!B13,'سال 1399'!B13,'سال 1400'!B13,'سال 1401'!B13,'سال 1402'!B13,'سال 1403'!B13)</ns0:f>
        <ns0:v>-0.6743</ns0:v>
      </ns0:c>
      <ns0:c r="D13" s="79">
        <ns0:f>C13-B13</ns0:f>
        <ns0:v>0.03979999999999995</ns0:v>
      </ns0:c>
      <ns0:c r="F13" t="inlineStr">
        <ns0:is>
          <ns0:t>حبوبات</ns0:t>
        </ns0:is>
      </ns0:c>
      <ns0:c r="G13" s="69">
        <ns0:f>MIN('سال 1392'!C13,'سال 1393'!C13,'سال 1394'!C13,'سال 1395'!C13,'سال 1396'!C13,'سال 1397'!C13,'سال 1398'!C13,'سال 1399'!C13,'سال 1400'!C13,'سال 1401'!C13,'سال 1402'!C13,'سال 1403'!C13)</ns0:f>
        <ns0:v>-0.7381</ns0:v>
      </ns0:c>
      <ns0:c r="H13" s="69">
        <ns0:f>MAX('سال 1392'!C13,'سال 1393'!C13,'سال 1394'!C13,'سال 1395'!C13,'سال 1396'!C13,'سال 1397'!C13,'سال 1398'!C13,'سال 1399'!C13,'سال 1400'!C13,'سال 1401'!C13,'سال 1402'!C13,'سال 1403'!C13)</ns0:f>
        <ns0:v>-0.6986</ns0:v>
      </ns0:c>
      <ns0:c r="I13" s="79">
        <ns0:f>H13-G13</ns0:f>
        <ns0:v>0.03949999999999998</ns0:v>
      </ns0:c>
    </ns0:row>
    <ns0:row r="14" ht="22" customHeight="1">
      <ns0:c r="A14" t="inlineStr">
        <ns0:is>
          <ns0:t>مغزها، خشکبار و خرما</ns0:t>
        </ns0:is>
      </ns0:c>
      <ns0:c r="B14" s="68">
        <ns0:f>MIN('سال 1392'!B14,'سال 1393'!B14,'سال 1394'!B14,'سال 1395'!B14,'سال 1396'!B14,'سال 1397'!B14,'سال 1398'!B14,'سال 1399'!B14,'سال 1400'!B14,'سال 1401'!B14,'سال 1402'!B14,'سال 1403'!B14)</ns0:f>
        <ns0:v>-1.0033</ns0:v>
      </ns0:c>
      <ns0:c r="C14" s="68">
        <ns0:f>MAX('سال 1392'!B14,'سال 1393'!B14,'سال 1394'!B14,'سال 1395'!B14,'سال 1396'!B14,'سال 1397'!B14,'سال 1398'!B14,'سال 1399'!B14,'سال 1400'!B14,'سال 1401'!B14,'سال 1402'!B14,'سال 1403'!B14)</ns0:f>
        <ns0:v>-0.9187</ns0:v>
      </ns0:c>
      <ns0:c r="D14" s="79">
        <ns0:f>C14-B14</ns0:f>
        <ns0:v>0.08460000000000012</ns0:v>
      </ns0:c>
      <ns0:c r="F14" t="inlineStr">
        <ns0:is>
          <ns0:t>مغزها، خشکبار و خرما</ns0:t>
        </ns0:is>
      </ns0:c>
      <ns0:c r="G14" s="69">
        <ns0:f>MIN('سال 1392'!C14,'سال 1393'!C14,'سال 1394'!C14,'سال 1395'!C14,'سال 1396'!C14,'سال 1397'!C14,'سال 1398'!C14,'سال 1399'!C14,'سال 1400'!C14,'سال 1401'!C14,'سال 1402'!C14,'سال 1403'!C14)</ns0:f>
        <ns0:v>-1.0109</ns0:v>
      </ns0:c>
      <ns0:c r="H14" s="69">
        <ns0:f>MAX('سال 1392'!C14,'سال 1393'!C14,'سال 1394'!C14,'سال 1395'!C14,'سال 1396'!C14,'سال 1397'!C14,'سال 1398'!C14,'سال 1399'!C14,'سال 1400'!C14,'سال 1401'!C14,'سال 1402'!C14,'سال 1403'!C14)</ns0:f>
        <ns0:v>-0.9401</ns0:v>
      </ns0:c>
      <ns0:c r="I14" s="79">
        <ns0:f>H14-G14</ns0:f>
        <ns0:v>0.07079999999999986</ns0:v>
      </ns0:c>
    </ns0:row>
    <ns0:row r="15" ht="22" customHeight="1">
      <ns0:c r="A15" t="inlineStr">
        <ns0:is>
          <ns0:t>قند، شیرینی و تنقلات</ns0:t>
        </ns0:is>
      </ns0:c>
      <ns0:c r="B15" s="68">
        <ns0:f>MIN('سال 1392'!B15,'سال 1393'!B15,'سال 1394'!B15,'سال 1395'!B15,'سال 1396'!B15,'سال 1397'!B15,'سال 1398'!B15,'سال 1399'!B15,'سال 1400'!B15,'سال 1401'!B15,'سال 1402'!B15,'سال 1403'!B15)</ns0:f>
        <ns0:v>-0.601</ns0:v>
      </ns0:c>
      <ns0:c r="C15" s="68">
        <ns0:f>MAX('سال 1392'!B15,'سال 1393'!B15,'سال 1394'!B15,'سال 1395'!B15,'سال 1396'!B15,'سال 1397'!B15,'سال 1398'!B15,'سال 1399'!B15,'سال 1400'!B15,'سال 1401'!B15,'سال 1402'!B15,'سال 1403'!B15)</ns0:f>
        <ns0:v>-0.4813</ns0:v>
      </ns0:c>
      <ns0:c r="D15" s="79">
        <ns0:f>C15-B15</ns0:f>
        <ns0:v>0.11969999999999997</ns0:v>
      </ns0:c>
      <ns0:c r="F15" t="inlineStr">
        <ns0:is>
          <ns0:t>قند، شیرینی و تنقلات</ns0:t>
        </ns0:is>
      </ns0:c>
      <ns0:c r="G15" s="69">
        <ns0:f>MIN('سال 1392'!C15,'سال 1393'!C15,'سال 1394'!C15,'سال 1395'!C15,'سال 1396'!C15,'سال 1397'!C15,'سال 1398'!C15,'سال 1399'!C15,'سال 1400'!C15,'سال 1401'!C15,'سال 1402'!C15,'سال 1403'!C15)</ns0:f>
        <ns0:v>-0.5979</ns0:v>
      </ns0:c>
      <ns0:c r="H15" s="69">
        <ns0:f>MAX('سال 1392'!C15,'سال 1393'!C15,'سال 1394'!C15,'سال 1395'!C15,'سال 1396'!C15,'سال 1397'!C15,'سال 1398'!C15,'سال 1399'!C15,'سال 1400'!C15,'سال 1401'!C15,'سال 1402'!C15,'سال 1403'!C15)</ns0:f>
        <ns0:v>-0.4791</ns0:v>
      </ns0:c>
      <ns0:c r="I15" s="79">
        <ns0:f>H15-G15</ns0:f>
        <ns0:v>0.11879999999999996</ns0:v>
      </ns0:c>
    </ns0:row>
    <ns0:row r="16" ht="22" customHeight="1">
      <ns0:c r="A16" t="inlineStr">
        <ns0:is>
          <ns0:t>نوشیدنی بدون نوشابه</ns0:t>
        </ns0:is>
      </ns0:c>
      <ns0:c r="B16" s="68">
        <ns0:f>MIN('سال 1392'!B16,'سال 1393'!B16,'سال 1394'!B16,'سال 1395'!B16,'سال 1396'!B16,'سال 1397'!B16,'سال 1398'!B16,'سال 1399'!B16,'سال 1400'!B16,'سال 1401'!B16,'سال 1402'!B16,'سال 1403'!B16)</ns0:f>
        <ns0:v>-0.892</ns0:v>
      </ns0:c>
      <ns0:c r="C16" s="68">
        <ns0:f>MAX('سال 1392'!B16,'سال 1393'!B16,'سال 1394'!B16,'سال 1395'!B16,'سال 1396'!B16,'سال 1397'!B16,'سال 1398'!B16,'سال 1399'!B16,'سال 1400'!B16,'سال 1401'!B16,'سال 1402'!B16,'سال 1403'!B16)</ns0:f>
        <ns0:v>-0.8095</ns0:v>
      </ns0:c>
      <ns0:c r="D16" s="79">
        <ns0:f>C16-B16</ns0:f>
        <ns0:v>0.08250000000000002</ns0:v>
      </ns0:c>
      <ns0:c r="F16" t="inlineStr">
        <ns0:is>
          <ns0:t>نوشیدنی بدون نوشابه</ns0:t>
        </ns0:is>
      </ns0:c>
      <ns0:c r="G16" s="69">
        <ns0:f>MIN('سال 1392'!C16,'سال 1393'!C16,'سال 1394'!C16,'سال 1395'!C16,'سال 1396'!C16,'سال 1397'!C16,'سال 1398'!C16,'سال 1399'!C16,'سال 1400'!C16,'سال 1401'!C16,'سال 1402'!C16,'سال 1403'!C16)</ns0:f>
        <ns0:v>-0.9027</ns0:v>
      </ns0:c>
      <ns0:c r="H16" s="69">
        <ns0:f>MAX('سال 1392'!C16,'سال 1393'!C16,'سال 1394'!C16,'سال 1395'!C16,'سال 1396'!C16,'سال 1397'!C16,'سال 1398'!C16,'سال 1399'!C16,'سال 1400'!C16,'سال 1401'!C16,'سال 1402'!C16,'سال 1403'!C16)</ns0:f>
        <ns0:v>-0.819</ns0:v>
      </ns0:c>
      <ns0:c r="I16" s="79">
        <ns0:f>H16-G16</ns0:f>
        <ns0:v>0.0837</ns0:v>
      </ns0:c>
    </ns0:row>
    <ns0:row r="17" ht="22" customHeight="1">
      <ns0:c r="A17" t="inlineStr">
        <ns0:is>
          <ns0:t>ادویه و چاشنی</ns0:t>
        </ns0:is>
      </ns0:c>
      <ns0:c r="B17" s="68">
        <ns0:f>MIN('سال 1392'!B17,'سال 1393'!B17,'سال 1394'!B17,'سال 1395'!B17,'سال 1396'!B17,'سال 1397'!B17,'سال 1398'!B17,'سال 1399'!B17,'سال 1400'!B17,'سال 1401'!B17,'سال 1402'!B17,'سال 1403'!B17)</ns0:f>
        <ns0:v>-0.5033</ns0:v>
      </ns0:c>
      <ns0:c r="C17" s="68">
        <ns0:f>MAX('سال 1392'!B17,'سال 1393'!B17,'سال 1394'!B17,'سال 1395'!B17,'سال 1396'!B17,'سال 1397'!B17,'سال 1398'!B17,'سال 1399'!B17,'سال 1400'!B17,'سال 1401'!B17,'سال 1402'!B17,'سال 1403'!B17)</ns0:f>
        <ns0:v>-0.3633</ns0:v>
      </ns0:c>
      <ns0:c r="D17" s="79">
        <ns0:f>C17-B17</ns0:f>
        <ns0:v>0.13999999999999996</ns0:v>
      </ns0:c>
      <ns0:c r="F17" t="inlineStr">
        <ns0:is>
          <ns0:t>ادویه و چاشنی</ns0:t>
        </ns0:is>
      </ns0:c>
      <ns0:c r="G17" s="69">
        <ns0:f>MIN('سال 1392'!C17,'سال 1393'!C17,'سال 1394'!C17,'سال 1395'!C17,'سال 1396'!C17,'سال 1397'!C17,'سال 1398'!C17,'سال 1399'!C17,'سال 1400'!C17,'سال 1401'!C17,'سال 1402'!C17,'سال 1403'!C17)</ns0:f>
        <ns0:v>-0.5023</ns0:v>
      </ns0:c>
      <ns0:c r="H17" s="69">
        <ns0:f>MAX('سال 1392'!C17,'سال 1393'!C17,'سال 1394'!C17,'سال 1395'!C17,'سال 1396'!C17,'سال 1397'!C17,'سال 1398'!C17,'سال 1399'!C17,'سال 1400'!C17,'سال 1401'!C17,'سال 1402'!C17,'سال 1403'!C17)</ns0:f>
        <ns0:v>-0.3616</ns0:v>
      </ns0:c>
      <ns0:c r="I17" s="79">
        <ns0:f>H17-G17</ns0:f>
        <ns0:v>0.1407</ns0:v>
      </ns0:c>
    </ns0:row>
    <ns0:row r="18"/>
    <ns0:row r="19"/>
    <ns0:row r="20"/>
    <ns0:row r="21"/>
    <ns0:row r="22" ht="27" customHeight="1">
      <ns0:c r="A22" s="15" t="inlineStr">
        <ns0:is>
          <ns0:t>کوهرت • کشش قیمتی خودی | B1</ns0:t>
        </ns0:is>
      </ns0:c>
      <ns0:c r="B22" s="1" t="n"/>
      <ns0:c r="C22" s="1" t="n"/>
      <ns0:c r="D22" s="1" t="n"/>
      <ns0:c r="F22" s="55" t="inlineStr">
        <ns0:is>
          <ns0:t>کوهرت • کشش قیمتی خودی | B2</ns0:t>
        </ns0:is>
      </ns0:c>
      <ns0:c r="G22" s="1" t="n"/>
      <ns0:c r="H22" s="1" t="n"/>
      <ns0:c r="I22" s="1" t="n"/>
    </ns0:row>
    <ns0:row r="23" ht="23" customHeight="1">
      <ns0:c r="A23" s="46" t="inlineStr">
        <ns0:is>
          <ns0:t>گروه کالایی</ns0:t>
        </ns0:is>
      </ns0:c>
      <ns0:c r="B23" s="46" t="inlineStr">
        <ns0:is>
          <ns0:t>کمینه</ns0:t>
        </ns0:is>
      </ns0:c>
      <ns0:c r="C23" s="46" t="inlineStr">
        <ns0:is>
          <ns0:t>بیشینه</ns0:t>
        </ns0:is>
      </ns0:c>
      <ns0:c r="D23" s="46" t="inlineStr">
        <ns0:is>
          <ns0:t>دامنه</ns0:t>
        </ns0:is>
      </ns0:c>
      <ns0:c r="F23" s="57" t="inlineStr">
        <ns0:is>
          <ns0:t>گروه کالایی</ns0:t>
        </ns0:is>
      </ns0:c>
      <ns0:c r="G23" s="57" t="inlineStr">
        <ns0:is>
          <ns0:t>کمینه</ns0:t>
        </ns0:is>
      </ns0:c>
      <ns0:c r="H23" s="57" t="inlineStr">
        <ns0:is>
          <ns0:t>بیشینه</ns0:t>
        </ns0:is>
      </ns0:c>
      <ns0:c r="I23" s="57" t="inlineStr">
        <ns0:is>
          <ns0:t>دامنه</ns0:t>
        </ns0:is>
      </ns0:c>
    </ns0:row>
    <ns0:row r="24" ht="22" customHeight="1">
      <ns0:c r="A24" t="inlineStr">
        <ns0:is>
          <ns0:t>برنج</ns0:t>
        </ns0:is>
      </ns0:c>
      <ns0:c r="B24" s="68">
        <ns0:f>MIN('کوهرت 1392'!B6,'کوهرت 1393'!B6,'کوهرت 1394'!B6,'کوهرت 1397'!B6,'کوهرت 1398'!B6,'کوهرت 1399'!B6,'کوهرت 1400'!B6,'کوهرت 1401'!B6)</ns0:f>
        <ns0:v>-1.0811</ns0:v>
      </ns0:c>
      <ns0:c r="C24" s="68">
        <ns0:f>MAX('کوهرت 1392'!B6,'کوهرت 1393'!B6,'کوهرت 1394'!B6,'کوهرت 1397'!B6,'کوهرت 1398'!B6,'کوهرت 1399'!B6,'کوهرت 1400'!B6,'کوهرت 1401'!B6)</ns0:f>
        <ns0:v>-1.0762</ns0:v>
      </ns0:c>
      <ns0:c r="D24" s="79">
        <ns0:f>C24-B24</ns0:f>
        <ns0:v>0.004899999999999904</ns0:v>
      </ns0:c>
      <ns0:c r="F24" t="inlineStr">
        <ns0:is>
          <ns0:t>برنج</ns0:t>
        </ns0:is>
      </ns0:c>
      <ns0:c r="G24" s="69">
        <ns0:f>MIN('کوهرت 1392'!C6,'کوهرت 1393'!C6,'کوهرت 1394'!C6,'کوهرت 1397'!C6,'کوهرت 1398'!C6,'کوهرت 1399'!C6,'کوهرت 1400'!C6,'کوهرت 1401'!C6)</ns0:f>
        <ns0:v>-1.08</ns0:v>
      </ns0:c>
      <ns0:c r="H24" s="69">
        <ns0:f>MAX('کوهرت 1392'!C6,'کوهرت 1393'!C6,'کوهرت 1394'!C6,'کوهرت 1397'!C6,'کوهرت 1398'!C6,'کوهرت 1399'!C6,'کوهرت 1400'!C6,'کوهرت 1401'!C6)</ns0:f>
        <ns0:v>-1.0737</ns0:v>
      </ns0:c>
      <ns0:c r="I24" s="79">
        <ns0:f>H24-G24</ns0:f>
        <ns0:v>0.006299999999999972</ns0:v>
      </ns0:c>
    </ns0:row>
    <ns0:row r="25" ht="22" customHeight="1">
      <ns0:c r="A25" t="inlineStr">
        <ns0:is>
          <ns0:t>نان و غلات</ns0:t>
        </ns0:is>
      </ns0:c>
      <ns0:c r="B25" s="68">
        <ns0:f>MIN('کوهرت 1392'!B7,'کوهرت 1393'!B7,'کوهرت 1394'!B7,'کوهرت 1397'!B7,'کوهرت 1398'!B7,'کوهرت 1399'!B7,'کوهرت 1400'!B7,'کوهرت 1401'!B7)</ns0:f>
        <ns0:v>-0.7373</ns0:v>
      </ns0:c>
      <ns0:c r="C25" s="68">
        <ns0:f>MAX('کوهرت 1392'!B7,'کوهرت 1393'!B7,'کوهرت 1394'!B7,'کوهرت 1397'!B7,'کوهرت 1398'!B7,'کوهرت 1399'!B7,'کوهرت 1400'!B7,'کوهرت 1401'!B7)</ns0:f>
        <ns0:v>-0.5201</ns0:v>
      </ns0:c>
      <ns0:c r="D25" s="79">
        <ns0:f>C25-B25</ns0:f>
        <ns0:v>0.21719999999999995</ns0:v>
      </ns0:c>
      <ns0:c r="F25" t="inlineStr">
        <ns0:is>
          <ns0:t>نان و غلات</ns0:t>
        </ns0:is>
      </ns0:c>
      <ns0:c r="G25" s="69">
        <ns0:f>MIN('کوهرت 1392'!C7,'کوهرت 1393'!C7,'کوهرت 1394'!C7,'کوهرت 1397'!C7,'کوهرت 1398'!C7,'کوهرت 1399'!C7,'کوهرت 1400'!C7,'کوهرت 1401'!C7)</ns0:f>
        <ns0:v>-0.7103</ns0:v>
      </ns0:c>
      <ns0:c r="H25" s="69">
        <ns0:f>MAX('کوهرت 1392'!C7,'کوهرت 1393'!C7,'کوهرت 1394'!C7,'کوهرت 1397'!C7,'کوهرت 1398'!C7,'کوهرت 1399'!C7,'کوهرت 1400'!C7,'کوهرت 1401'!C7)</ns0:f>
        <ns0:v>-0.4608</ns0:v>
      </ns0:c>
      <ns0:c r="I25" s="79">
        <ns0:f>H25-G25</ns0:f>
        <ns0:v>0.24950000000000006</ns0:v>
      </ns0:c>
    </ns0:row>
    <ns0:row r="26" ht="22" customHeight="1">
      <ns0:c r="A26" t="inlineStr">
        <ns0:is>
          <ns0:t>گوشت</ns0:t>
        </ns0:is>
      </ns0:c>
      <ns0:c r="B26" s="68">
        <ns0:f>MIN('کوهرت 1392'!B8,'کوهرت 1393'!B8,'کوهرت 1394'!B8,'کوهرت 1397'!B8,'کوهرت 1398'!B8,'کوهرت 1399'!B8,'کوهرت 1400'!B8,'کوهرت 1401'!B8)</ns0:f>
        <ns0:v>-0.9391</ns0:v>
      </ns0:c>
      <ns0:c r="C26" s="68">
        <ns0:f>MAX('کوهرت 1392'!B8,'کوهرت 1393'!B8,'کوهرت 1394'!B8,'کوهرت 1397'!B8,'کوهرت 1398'!B8,'کوهرت 1399'!B8,'کوهرت 1400'!B8,'کوهرت 1401'!B8)</ns0:f>
        <ns0:v>-0.9084</ns0:v>
      </ns0:c>
      <ns0:c r="D26" s="79">
        <ns0:f>C26-B26</ns0:f>
        <ns0:v>0.03070000000000006</ns0:v>
      </ns0:c>
      <ns0:c r="F26" t="inlineStr">
        <ns0:is>
          <ns0:t>گوشت</ns0:t>
        </ns0:is>
      </ns0:c>
      <ns0:c r="G26" s="69">
        <ns0:f>MIN('کوهرت 1392'!C8,'کوهرت 1393'!C8,'کوهرت 1394'!C8,'کوهرت 1397'!C8,'کوهرت 1398'!C8,'کوهرت 1399'!C8,'کوهرت 1400'!C8,'کوهرت 1401'!C8)</ns0:f>
        <ns0:v>-0.9503</ns0:v>
      </ns0:c>
      <ns0:c r="H26" s="69">
        <ns0:f>MAX('کوهرت 1392'!C8,'کوهرت 1393'!C8,'کوهرت 1394'!C8,'کوهرت 1397'!C8,'کوهرت 1398'!C8,'کوهرت 1399'!C8,'کوهرت 1400'!C8,'کوهرت 1401'!C8)</ns0:f>
        <ns0:v>-0.9194</ns0:v>
      </ns0:c>
      <ns0:c r="I26" s="79">
        <ns0:f>H26-G26</ns0:f>
        <ns0:v>0.03090000000000004</ns0:v>
      </ns0:c>
    </ns0:row>
    <ns0:row r="27" ht="22" customHeight="1">
      <ns0:c r="A27" t="inlineStr">
        <ns0:is>
          <ns0:t>لبنیات و تخم‌مرغ</ns0:t>
        </ns0:is>
      </ns0:c>
      <ns0:c r="B27" s="68">
        <ns0:f>MIN('کوهرت 1392'!B9,'کوهرت 1393'!B9,'کوهرت 1394'!B9,'کوهرت 1397'!B9,'کوهرت 1398'!B9,'کوهرت 1399'!B9,'کوهرت 1400'!B9,'کوهرت 1401'!B9)</ns0:f>
        <ns0:v>-0.8202</ns0:v>
      </ns0:c>
      <ns0:c r="C27" s="68">
        <ns0:f>MAX('کوهرت 1392'!B9,'کوهرت 1393'!B9,'کوهرت 1394'!B9,'کوهرت 1397'!B9,'کوهرت 1398'!B9,'کوهرت 1399'!B9,'کوهرت 1400'!B9,'کوهرت 1401'!B9)</ns0:f>
        <ns0:v>-0.7902</ns0:v>
      </ns0:c>
      <ns0:c r="D27" s="79">
        <ns0:f>C27-B27</ns0:f>
        <ns0:v>0.030000000000000027</ns0:v>
      </ns0:c>
      <ns0:c r="F27" t="inlineStr">
        <ns0:is>
          <ns0:t>لبنیات و تخم‌مرغ</ns0:t>
        </ns0:is>
      </ns0:c>
      <ns0:c r="G27" s="69">
        <ns0:f>MIN('کوهرت 1392'!C9,'کوهرت 1393'!C9,'کوهرت 1394'!C9,'کوهرت 1397'!C9,'کوهرت 1398'!C9,'کوهرت 1399'!C9,'کوهرت 1400'!C9,'کوهرت 1401'!C9)</ns0:f>
        <ns0:v>-0.8135</ns0:v>
      </ns0:c>
      <ns0:c r="H27" s="69">
        <ns0:f>MAX('کوهرت 1392'!C9,'کوهرت 1393'!C9,'کوهرت 1394'!C9,'کوهرت 1397'!C9,'کوهرت 1398'!C9,'کوهرت 1399'!C9,'کوهرت 1400'!C9,'کوهرت 1401'!C9)</ns0:f>
        <ns0:v>-0.7839</ns0:v>
      </ns0:c>
      <ns0:c r="I27" s="79">
        <ns0:f>H27-G27</ns0:f>
        <ns0:v>0.02959999999999996</ns0:v>
      </ns0:c>
    </ns0:row>
    <ns0:row r="28" ht="22" customHeight="1">
      <ns0:c r="A28" t="inlineStr">
        <ns0:is>
          <ns0:t>روغن و چربی</ns0:t>
        </ns0:is>
      </ns0:c>
      <ns0:c r="B28" s="68">
        <ns0:f>MIN('کوهرت 1392'!B10,'کوهرت 1393'!B10,'کوهرت 1394'!B10,'کوهرت 1397'!B10,'کوهرت 1398'!B10,'کوهرت 1399'!B10,'کوهرت 1400'!B10,'کوهرت 1401'!B10)</ns0:f>
        <ns0:v>-0.5463</ns0:v>
      </ns0:c>
      <ns0:c r="C28" s="68">
        <ns0:f>MAX('کوهرت 1392'!B10,'کوهرت 1393'!B10,'کوهرت 1394'!B10,'کوهرت 1397'!B10,'کوهرت 1398'!B10,'کوهرت 1399'!B10,'کوهرت 1400'!B10,'کوهرت 1401'!B10)</ns0:f>
        <ns0:v>-0.4009</ns0:v>
      </ns0:c>
      <ns0:c r="D28" s="79">
        <ns0:f>C28-B28</ns0:f>
        <ns0:v>0.14540000000000003</ns0:v>
      </ns0:c>
      <ns0:c r="F28" t="inlineStr">
        <ns0:is>
          <ns0:t>روغن و چربی</ns0:t>
        </ns0:is>
      </ns0:c>
      <ns0:c r="G28" s="69">
        <ns0:f>MIN('کوهرت 1392'!C10,'کوهرت 1393'!C10,'کوهرت 1394'!C10,'کوهرت 1397'!C10,'کوهرت 1398'!C10,'کوهرت 1399'!C10,'کوهرت 1400'!C10,'کوهرت 1401'!C10)</ns0:f>
        <ns0:v>-0.5494</ns0:v>
      </ns0:c>
      <ns0:c r="H28" s="69">
        <ns0:f>MAX('کوهرت 1392'!C10,'کوهرت 1393'!C10,'کوهرت 1394'!C10,'کوهرت 1397'!C10,'کوهرت 1398'!C10,'کوهرت 1399'!C10,'کوهرت 1400'!C10,'کوهرت 1401'!C10)</ns0:f>
        <ns0:v>-0.3954</ns0:v>
      </ns0:c>
      <ns0:c r="I28" s="79">
        <ns0:f>H28-G28</ns0:f>
        <ns0:v>0.15400000000000003</ns0:v>
      </ns0:c>
    </ns0:row>
    <ns0:row r="29" ht="22" customHeight="1">
      <ns0:c r="A29" t="inlineStr">
        <ns0:is>
          <ns0:t>میوه</ns0:t>
        </ns0:is>
      </ns0:c>
      <ns0:c r="B29" s="68">
        <ns0:f>MIN('کوهرت 1392'!B11,'کوهرت 1393'!B11,'کوهرت 1394'!B11,'کوهرت 1397'!B11,'کوهرت 1398'!B11,'کوهرت 1399'!B11,'کوهرت 1400'!B11,'کوهرت 1401'!B11)</ns0:f>
        <ns0:v>-1.0796</ns0:v>
      </ns0:c>
      <ns0:c r="C29" s="68">
        <ns0:f>MAX('کوهرت 1392'!B11,'کوهرت 1393'!B11,'کوهرت 1394'!B11,'کوهرت 1397'!B11,'کوهرت 1398'!B11,'کوهرت 1399'!B11,'کوهرت 1400'!B11,'کوهرت 1401'!B11)</ns0:f>
        <ns0:v>-1.0271</ns0:v>
      </ns0:c>
      <ns0:c r="D29" s="79">
        <ns0:f>C29-B29</ns0:f>
        <ns0:v>0.05249999999999999</ns0:v>
      </ns0:c>
      <ns0:c r="F29" t="inlineStr">
        <ns0:is>
          <ns0:t>میوه</ns0:t>
        </ns0:is>
      </ns0:c>
      <ns0:c r="G29" s="69">
        <ns0:f>MIN('کوهرت 1392'!C11,'کوهرت 1393'!C11,'کوهرت 1394'!C11,'کوهرت 1397'!C11,'کوهرت 1398'!C11,'کوهرت 1399'!C11,'کوهرت 1400'!C11,'کوهرت 1401'!C11)</ns0:f>
        <ns0:v>-1.074</ns0:v>
      </ns0:c>
      <ns0:c r="H29" s="69">
        <ns0:f>MAX('کوهرت 1392'!C11,'کوهرت 1393'!C11,'کوهرت 1394'!C11,'کوهرت 1397'!C11,'کوهرت 1398'!C11,'کوهرت 1399'!C11,'کوهرت 1400'!C11,'کوهرت 1401'!C11)</ns0:f>
        <ns0:v>-1.0219</ns0:v>
      </ns0:c>
      <ns0:c r="I29" s="79">
        <ns0:f>H29-G29</ns0:f>
        <ns0:v>0.052100000000000035</ns0:v>
      </ns0:c>
    </ns0:row>
    <ns0:row r="30" ht="22" customHeight="1">
      <ns0:c r="A30" t="inlineStr">
        <ns0:is>
          <ns0:t>سبزیجات و سیب‌زمینی</ns0:t>
        </ns0:is>
      </ns0:c>
      <ns0:c r="B30" s="68">
        <ns0:f>MIN('کوهرت 1392'!B12,'کوهرت 1393'!B12,'کوهرت 1394'!B12,'کوهرت 1397'!B12,'کوهرت 1398'!B12,'کوهرت 1399'!B12,'کوهرت 1400'!B12,'کوهرت 1401'!B12)</ns0:f>
        <ns0:v>-0.5052</ns0:v>
      </ns0:c>
      <ns0:c r="C30" s="68">
        <ns0:f>MAX('کوهرت 1392'!B12,'کوهرت 1393'!B12,'کوهرت 1394'!B12,'کوهرت 1397'!B12,'کوهرت 1398'!B12,'کوهرت 1399'!B12,'کوهرت 1400'!B12,'کوهرت 1401'!B12)</ns0:f>
        <ns0:v>-0.3783</ns0:v>
      </ns0:c>
      <ns0:c r="D30" s="79">
        <ns0:f>C30-B30</ns0:f>
        <ns0:v>0.12689999999999996</ns0:v>
      </ns0:c>
      <ns0:c r="F30" t="inlineStr">
        <ns0:is>
          <ns0:t>سبزیجات و سیب‌زمینی</ns0:t>
        </ns0:is>
      </ns0:c>
      <ns0:c r="G30" s="69">
        <ns0:f>MIN('کوهرت 1392'!C12,'کوهرت 1393'!C12,'کوهرت 1394'!C12,'کوهرت 1397'!C12,'کوهرت 1398'!C12,'کوهرت 1399'!C12,'کوهرت 1400'!C12,'کوهرت 1401'!C12)</ns0:f>
        <ns0:v>-0.4908</ns0:v>
      </ns0:c>
      <ns0:c r="H30" s="69">
        <ns0:f>MAX('کوهرت 1392'!C12,'کوهرت 1393'!C12,'کوهرت 1394'!C12,'کوهرت 1397'!C12,'کوهرت 1398'!C12,'کوهرت 1399'!C12,'کوهرت 1400'!C12,'کوهرت 1401'!C12)</ns0:f>
        <ns0:v>-0.3659</ns0:v>
      </ns0:c>
      <ns0:c r="I30" s="79">
        <ns0:f>H30-G30</ns0:f>
        <ns0:v>0.12490000000000001</ns0:v>
      </ns0:c>
    </ns0:row>
    <ns0:row r="31" ht="22" customHeight="1">
      <ns0:c r="A31" t="inlineStr">
        <ns0:is>
          <ns0:t>حبوبات</ns0:t>
        </ns0:is>
      </ns0:c>
      <ns0:c r="B31" s="68">
        <ns0:f>MIN('کوهرت 1392'!B13,'کوهرت 1393'!B13,'کوهرت 1394'!B13,'کوهرت 1397'!B13,'کوهرت 1398'!B13,'کوهرت 1399'!B13,'کوهرت 1400'!B13,'کوهرت 1401'!B13)</ns0:f>
        <ns0:v>-0.704</ns0:v>
      </ns0:c>
      <ns0:c r="C31" s="68">
        <ns0:f>MAX('کوهرت 1392'!B13,'کوهرت 1393'!B13,'کوهرت 1394'!B13,'کوهرت 1397'!B13,'کوهرت 1398'!B13,'کوهرت 1399'!B13,'کوهرت 1400'!B13,'کوهرت 1401'!B13)</ns0:f>
        <ns0:v>-0.6778</ns0:v>
      </ns0:c>
      <ns0:c r="D31" s="79">
        <ns0:f>C31-B31</ns0:f>
        <ns0:v>0.0262</ns0:v>
      </ns0:c>
      <ns0:c r="F31" t="inlineStr">
        <ns0:is>
          <ns0:t>حبوبات</ns0:t>
        </ns0:is>
      </ns0:c>
      <ns0:c r="G31" s="69">
        <ns0:f>MIN('کوهرت 1392'!C13,'کوهرت 1393'!C13,'کوهرت 1394'!C13,'کوهرت 1397'!C13,'کوهرت 1398'!C13,'کوهرت 1399'!C13,'کوهرت 1400'!C13,'کوهرت 1401'!C13)</ns0:f>
        <ns0:v>-0.7282</ns0:v>
      </ns0:c>
      <ns0:c r="H31" s="69">
        <ns0:f>MAX('کوهرت 1392'!C13,'کوهرت 1393'!C13,'کوهرت 1394'!C13,'کوهرت 1397'!C13,'کوهرت 1398'!C13,'کوهرت 1399'!C13,'کوهرت 1400'!C13,'کوهرت 1401'!C13)</ns0:f>
        <ns0:v>-0.7032</ns0:v>
      </ns0:c>
      <ns0:c r="I31" s="79">
        <ns0:f>H31-G31</ns0:f>
        <ns0:v>0.02499999999999991</ns0:v>
      </ns0:c>
    </ns0:row>
    <ns0:row r="32" ht="22" customHeight="1">
      <ns0:c r="A32" t="inlineStr">
        <ns0:is>
          <ns0:t>مغزها، خشکبار و خرما</ns0:t>
        </ns0:is>
      </ns0:c>
      <ns0:c r="B32" s="68">
        <ns0:f>MIN('کوهرت 1392'!B14,'کوهرت 1393'!B14,'کوهرت 1394'!B14,'کوهرت 1397'!B14,'کوهرت 1398'!B14,'کوهرت 1399'!B14,'کوهرت 1400'!B14,'کوهرت 1401'!B14)</ns0:f>
        <ns0:v>-0.995</ns0:v>
      </ns0:c>
      <ns0:c r="C32" s="68">
        <ns0:f>MAX('کوهرت 1392'!B14,'کوهرت 1393'!B14,'کوهرت 1394'!B14,'کوهرت 1397'!B14,'کوهرت 1398'!B14,'کوهرت 1399'!B14,'کوهرت 1400'!B14,'کوهرت 1401'!B14)</ns0:f>
        <ns0:v>-0.9266</ns0:v>
      </ns0:c>
      <ns0:c r="D32" s="79">
        <ns0:f>C32-B32</ns0:f>
        <ns0:v>0.06840000000000002</ns0:v>
      </ns0:c>
      <ns0:c r="F32" t="inlineStr">
        <ns0:is>
          <ns0:t>مغزها، خشکبار و خرما</ns0:t>
        </ns0:is>
      </ns0:c>
      <ns0:c r="G32" s="69">
        <ns0:f>MIN('کوهرت 1392'!C14,'کوهرت 1393'!C14,'کوهرت 1394'!C14,'کوهرت 1397'!C14,'کوهرت 1398'!C14,'کوهرت 1399'!C14,'کوهرت 1400'!C14,'کوهرت 1401'!C14)</ns0:f>
        <ns0:v>-1.0015</ns0:v>
      </ns0:c>
      <ns0:c r="H32" s="69">
        <ns0:f>MAX('کوهرت 1392'!C14,'کوهرت 1393'!C14,'کوهرت 1394'!C14,'کوهرت 1397'!C14,'کوهرت 1398'!C14,'کوهرت 1399'!C14,'کوهرت 1400'!C14,'کوهرت 1401'!C14)</ns0:f>
        <ns0:v>-0.9443</ns0:v>
      </ns0:c>
      <ns0:c r="I32" s="79">
        <ns0:f>H32-G32</ns0:f>
        <ns0:v>0.05720000000000003</ns0:v>
      </ns0:c>
    </ns0:row>
    <ns0:row r="33" ht="22" customHeight="1">
      <ns0:c r="A33" t="inlineStr">
        <ns0:is>
          <ns0:t>قند، شیرینی و تنقلات</ns0:t>
        </ns0:is>
      </ns0:c>
      <ns0:c r="B33" s="68">
        <ns0:f>MIN('کوهرت 1392'!B15,'کوهرت 1393'!B15,'کوهرت 1394'!B15,'کوهرت 1397'!B15,'کوهرت 1398'!B15,'کوهرت 1399'!B15,'کوهرت 1400'!B15,'کوهرت 1401'!B15)</ns0:f>
        <ns0:v>-0.5829</ns0:v>
      </ns0:c>
      <ns0:c r="C33" s="68">
        <ns0:f>MAX('کوهرت 1392'!B15,'کوهرت 1393'!B15,'کوهرت 1394'!B15,'کوهرت 1397'!B15,'کوهرت 1398'!B15,'کوهرت 1399'!B15,'کوهرت 1400'!B15,'کوهرت 1401'!B15)</ns0:f>
        <ns0:v>-0.4879</ns0:v>
      </ns0:c>
      <ns0:c r="D33" s="79">
        <ns0:f>C33-B33</ns0:f>
        <ns0:v>0.09499999999999997</ns0:v>
      </ns0:c>
      <ns0:c r="F33" t="inlineStr">
        <ns0:is>
          <ns0:t>قند، شیرینی و تنقلات</ns0:t>
        </ns0:is>
      </ns0:c>
      <ns0:c r="G33" s="69">
        <ns0:f>MIN('کوهرت 1392'!C15,'کوهرت 1393'!C15,'کوهرت 1394'!C15,'کوهرت 1397'!C15,'کوهرت 1398'!C15,'کوهرت 1399'!C15,'کوهرت 1400'!C15,'کوهرت 1401'!C15)</ns0:f>
        <ns0:v>-0.5806</ns0:v>
      </ns0:c>
      <ns0:c r="H33" s="69">
        <ns0:f>MAX('کوهرت 1392'!C15,'کوهرت 1393'!C15,'کوهرت 1394'!C15,'کوهرت 1397'!C15,'کوهرت 1398'!C15,'کوهرت 1399'!C15,'کوهرت 1400'!C15,'کوهرت 1401'!C15)</ns0:f>
        <ns0:v>-0.4857</ns0:v>
      </ns0:c>
      <ns0:c r="I33" s="79">
        <ns0:f>H33-G33</ns0:f>
        <ns0:v>0.09489999999999998</ns0:v>
      </ns0:c>
    </ns0:row>
    <ns0:row r="34" ht="22" customHeight="1">
      <ns0:c r="A34" t="inlineStr">
        <ns0:is>
          <ns0:t>نوشیدنی بدون نوشابه</ns0:t>
        </ns0:is>
      </ns0:c>
      <ns0:c r="B34" s="68">
        <ns0:f>MIN('کوهرت 1392'!B16,'کوهرت 1393'!B16,'کوهرت 1394'!B16,'کوهرت 1397'!B16,'کوهرت 1398'!B16,'کوهرت 1399'!B16,'کوهرت 1400'!B16,'کوهرت 1401'!B16)</ns0:f>
        <ns0:v>-0.8838</ns0:v>
      </ns0:c>
      <ns0:c r="C34" s="68">
        <ns0:f>MAX('کوهرت 1392'!B16,'کوهرت 1393'!B16,'کوهرت 1394'!B16,'کوهرت 1397'!B16,'کوهرت 1398'!B16,'کوهرت 1399'!B16,'کوهرت 1400'!B16,'کوهرت 1401'!B16)</ns0:f>
        <ns0:v>-0.8161</ns0:v>
      </ns0:c>
      <ns0:c r="D34" s="79">
        <ns0:f>C34-B34</ns0:f>
        <ns0:v>0.06769999999999998</ns0:v>
      </ns0:c>
      <ns0:c r="F34" t="inlineStr">
        <ns0:is>
          <ns0:t>نوشیدنی بدون نوشابه</ns0:t>
        </ns0:is>
      </ns0:c>
      <ns0:c r="G34" s="69">
        <ns0:f>MIN('کوهرت 1392'!C16,'کوهرت 1393'!C16,'کوهرت 1394'!C16,'کوهرت 1397'!C16,'کوهرت 1398'!C16,'کوهرت 1399'!C16,'کوهرت 1400'!C16,'کوهرت 1401'!C16)</ns0:f>
        <ns0:v>-0.8939</ns0:v>
      </ns0:c>
      <ns0:c r="H34" s="69">
        <ns0:f>MAX('کوهرت 1392'!C16,'کوهرت 1393'!C16,'کوهرت 1394'!C16,'کوهرت 1397'!C16,'کوهرت 1398'!C16,'کوهرت 1399'!C16,'کوهرت 1400'!C16,'کوهرت 1401'!C16)</ns0:f>
        <ns0:v>-0.8252</ns0:v>
      </ns0:c>
      <ns0:c r="I34" s="79">
        <ns0:f>H34-G34</ns0:f>
        <ns0:v>0.06869999999999998</ns0:v>
      </ns0:c>
    </ns0:row>
    <ns0:row r="35" ht="22" customHeight="1">
      <ns0:c r="A35" t="inlineStr">
        <ns0:is>
          <ns0:t>ادویه و چاشنی</ns0:t>
        </ns0:is>
      </ns0:c>
      <ns0:c r="B35" s="68">
        <ns0:f>MIN('کوهرت 1392'!B17,'کوهرت 1393'!B17,'کوهرت 1394'!B17,'کوهرت 1397'!B17,'کوهرت 1398'!B17,'کوهرت 1399'!B17,'کوهرت 1400'!B17,'کوهرت 1401'!B17)</ns0:f>
        <ns0:v>-0.4708</ns0:v>
      </ns0:c>
      <ns0:c r="C35" s="68">
        <ns0:f>MAX('کوهرت 1392'!B17,'کوهرت 1393'!B17,'کوهرت 1394'!B17,'کوهرت 1397'!B17,'کوهرت 1398'!B17,'کوهرت 1399'!B17,'کوهرت 1400'!B17,'کوهرت 1401'!B17)</ns0:f>
        <ns0:v>-0.3794</ns0:v>
      </ns0:c>
      <ns0:c r="D35" s="79">
        <ns0:f>C35-B35</ns0:f>
        <ns0:v>0.09139999999999998</ns0:v>
      </ns0:c>
      <ns0:c r="F35" t="inlineStr">
        <ns0:is>
          <ns0:t>ادویه و چاشنی</ns0:t>
        </ns0:is>
      </ns0:c>
      <ns0:c r="G35" s="69">
        <ns0:f>MIN('کوهرت 1392'!C17,'کوهرت 1393'!C17,'کوهرت 1394'!C17,'کوهرت 1397'!C17,'کوهرت 1398'!C17,'کوهرت 1399'!C17,'کوهرت 1400'!C17,'کوهرت 1401'!C17)</ns0:f>
        <ns0:v>-0.4695</ns0:v>
      </ns0:c>
      <ns0:c r="H35" s="69">
        <ns0:f>MAX('کوهرت 1392'!C17,'کوهرت 1393'!C17,'کوهرت 1394'!C17,'کوهرت 1397'!C17,'کوهرت 1398'!C17,'کوهرت 1399'!C17,'کوهرت 1400'!C17,'کوهرت 1401'!C17)</ns0:f>
        <ns0:v>-0.3774</ns0:v>
      </ns0:c>
      <ns0:c r="I35" s="79">
        <ns0:f>H35-G35</ns0:f>
        <ns0:v>0.09209999999999996</ns0:v>
      </ns0:c>
    </ns0:row>
    <ns0:row r="36"/>
    <ns0:row r="37"/>
    <ns0:row r="38"/>
    <ns0:row r="39"/>
    <ns0:row r="40" ht="27" customHeight="1">
      <ns0:c r="A40" s="15" t="inlineStr">
        <ns0:is>
          <ns0:t>سالانه • کشش مخارج غذایی | B1</ns0:t>
        </ns0:is>
      </ns0:c>
      <ns0:c r="B40" s="1" t="n"/>
      <ns0:c r="C40" s="1" t="n"/>
      <ns0:c r="D40" s="1" t="n"/>
      <ns0:c r="F40" s="55" t="inlineStr">
        <ns0:is>
          <ns0:t>سالانه • کشش مخارج غذایی | B2</ns0:t>
        </ns0:is>
      </ns0:c>
      <ns0:c r="G40" s="1" t="n"/>
      <ns0:c r="H40" s="1" t="n"/>
      <ns0:c r="I40" s="1" t="n"/>
    </ns0:row>
    <ns0:row r="41" ht="23" customHeight="1">
      <ns0:c r="A41" s="46" t="inlineStr">
        <ns0:is>
          <ns0:t>گروه کالایی</ns0:t>
        </ns0:is>
      </ns0:c>
      <ns0:c r="B41" s="46" t="inlineStr">
        <ns0:is>
          <ns0:t>کمینه</ns0:t>
        </ns0:is>
      </ns0:c>
      <ns0:c r="C41" s="46" t="inlineStr">
        <ns0:is>
          <ns0:t>بیشینه</ns0:t>
        </ns0:is>
      </ns0:c>
      <ns0:c r="D41" s="46" t="inlineStr">
        <ns0:is>
          <ns0:t>دامنه</ns0:t>
        </ns0:is>
      </ns0:c>
      <ns0:c r="F41" s="57" t="inlineStr">
        <ns0:is>
          <ns0:t>گروه کالایی</ns0:t>
        </ns0:is>
      </ns0:c>
      <ns0:c r="G41" s="57" t="inlineStr">
        <ns0:is>
          <ns0:t>کمینه</ns0:t>
        </ns0:is>
      </ns0:c>
      <ns0:c r="H41" s="57" t="inlineStr">
        <ns0:is>
          <ns0:t>بیشینه</ns0:t>
        </ns0:is>
      </ns0:c>
      <ns0:c r="I41" s="57" t="inlineStr">
        <ns0:is>
          <ns0:t>دامنه</ns0:t>
        </ns0:is>
      </ns0:c>
    </ns0:row>
    <ns0:row r="42" ht="22" customHeight="1">
      <ns0:c r="A42" t="inlineStr">
        <ns0:is>
          <ns0:t>برنج</ns0:t>
        </ns0:is>
      </ns0:c>
      <ns0:c r="B42" s="68">
        <ns0:f>MIN('سال 1392'!D6,'سال 1393'!D6,'سال 1394'!D6,'سال 1395'!D6,'سال 1396'!D6,'سال 1397'!D6,'سال 1398'!D6,'سال 1399'!D6,'سال 1400'!D6,'سال 1401'!D6,'سال 1402'!D6,'سال 1403'!D6)</ns0:f>
        <ns0:v>1.5526</ns0:v>
      </ns0:c>
      <ns0:c r="C42" s="68">
        <ns0:f>MAX('سال 1392'!D6,'سال 1393'!D6,'سال 1394'!D6,'سال 1395'!D6,'سال 1396'!D6,'سال 1397'!D6,'سال 1398'!D6,'سال 1399'!D6,'سال 1400'!D6,'سال 1401'!D6,'سال 1402'!D6,'سال 1403'!D6)</ns0:f>
        <ns0:v>1.5817</ns0:v>
      </ns0:c>
      <ns0:c r="D42" s="79">
        <ns0:f>C42-B42</ns0:f>
        <ns0:v>0.029100000000000126</ns0:v>
      </ns0:c>
      <ns0:c r="F42" t="inlineStr">
        <ns0:is>
          <ns0:t>برنج</ns0:t>
        </ns0:is>
      </ns0:c>
      <ns0:c r="G42" s="69">
        <ns0:f>MIN('سال 1392'!E6,'سال 1393'!E6,'سال 1394'!E6,'سال 1395'!E6,'سال 1396'!E6,'سال 1397'!E6,'سال 1398'!E6,'سال 1399'!E6,'سال 1400'!E6,'سال 1401'!E6,'سال 1402'!E6,'سال 1403'!E6)</ns0:f>
        <ns0:v>1.6033</ns0:v>
      </ns0:c>
      <ns0:c r="H42" s="69">
        <ns0:f>MAX('سال 1392'!E6,'سال 1393'!E6,'سال 1394'!E6,'سال 1395'!E6,'سال 1396'!E6,'سال 1397'!E6,'سال 1398'!E6,'سال 1399'!E6,'سال 1400'!E6,'سال 1401'!E6,'سال 1402'!E6,'سال 1403'!E6)</ns0:f>
        <ns0:v>1.6301</ns0:v>
      </ns0:c>
      <ns0:c r="I42" s="79">
        <ns0:f>H42-G42</ns0:f>
        <ns0:v>0.026800000000000157</ns0:v>
      </ns0:c>
    </ns0:row>
    <ns0:row r="43" ht="22" customHeight="1">
      <ns0:c r="A43" t="inlineStr">
        <ns0:is>
          <ns0:t>نان و غلات</ns0:t>
        </ns0:is>
      </ns0:c>
      <ns0:c r="B43" s="68">
        <ns0:f>MIN('سال 1392'!D7,'سال 1393'!D7,'سال 1394'!D7,'سال 1395'!D7,'سال 1396'!D7,'سال 1397'!D7,'سال 1398'!D7,'سال 1399'!D7,'سال 1400'!D7,'سال 1401'!D7,'سال 1402'!D7,'سال 1403'!D7)</ns0:f>
        <ns0:v>-0.2164</ns0:v>
      </ns0:c>
      <ns0:c r="C43" s="68">
        <ns0:f>MAX('سال 1392'!D7,'سال 1393'!D7,'سال 1394'!D7,'سال 1395'!D7,'سال 1396'!D7,'سال 1397'!D7,'سال 1398'!D7,'سال 1399'!D7,'سال 1400'!D7,'سال 1401'!D7,'سال 1402'!D7,'سال 1403'!D7)</ns0:f>
        <ns0:v>0.6245</ns0:v>
      </ns0:c>
      <ns0:c r="D43" s="79">
        <ns0:f>C43-B43</ns0:f>
        <ns0:v>0.8409000000000001</ns0:v>
      </ns0:c>
      <ns0:c r="F43" t="inlineStr">
        <ns0:is>
          <ns0:t>نان و غلات</ns0:t>
        </ns0:is>
      </ns0:c>
      <ns0:c r="G43" s="69">
        <ns0:f>MIN('سال 1392'!E7,'سال 1393'!E7,'سال 1394'!E7,'سال 1395'!E7,'سال 1396'!E7,'سال 1397'!E7,'سال 1398'!E7,'سال 1399'!E7,'سال 1400'!E7,'سال 1401'!E7,'سال 1402'!E7,'سال 1403'!E7)</ns0:f>
        <ns0:v>-0.4361</ns0:v>
      </ns0:c>
      <ns0:c r="H43" s="69">
        <ns0:f>MAX('سال 1392'!E7,'سال 1393'!E7,'سال 1394'!E7,'سال 1395'!E7,'سال 1396'!E7,'سال 1397'!E7,'سال 1398'!E7,'سال 1399'!E7,'سال 1400'!E7,'سال 1401'!E7,'سال 1402'!E7,'سال 1403'!E7)</ns0:f>
        <ns0:v>0.5449</ns0:v>
      </ns0:c>
      <ns0:c r="I43" s="79">
        <ns0:f>H43-G43</ns0:f>
        <ns0:v>0.9810000000000001</ns0:v>
      </ns0:c>
    </ns0:row>
    <ns0:row r="44" ht="22" customHeight="1">
      <ns0:c r="A44" t="inlineStr">
        <ns0:is>
          <ns0:t>گوشت</ns0:t>
        </ns0:is>
      </ns0:c>
      <ns0:c r="B44" s="68">
        <ns0:f>MIN('سال 1392'!D8,'سال 1393'!D8,'سال 1394'!D8,'سال 1395'!D8,'سال 1396'!D8,'سال 1397'!D8,'سال 1398'!D8,'سال 1399'!D8,'سال 1400'!D8,'سال 1401'!D8,'سال 1402'!D8,'سال 1403'!D8)</ns0:f>
        <ns0:v>1.2217</ns0:v>
      </ns0:c>
      <ns0:c r="C44" s="68">
        <ns0:f>MAX('سال 1392'!D8,'سال 1393'!D8,'سال 1394'!D8,'سال 1395'!D8,'سال 1396'!D8,'سال 1397'!D8,'سال 1398'!D8,'سال 1399'!D8,'سال 1400'!D8,'سال 1401'!D8,'سال 1402'!D8,'سال 1403'!D8)</ns0:f>
        <ns0:v>1.2615</ns0:v>
      </ns0:c>
      <ns0:c r="D44" s="79">
        <ns0:f>C44-B44</ns0:f>
        <ns0:v>0.03980000000000006</ns0:v>
      </ns0:c>
      <ns0:c r="F44" t="inlineStr">
        <ns0:is>
          <ns0:t>گوشت</ns0:t>
        </ns0:is>
      </ns0:c>
      <ns0:c r="G44" s="69">
        <ns0:f>MIN('سال 1392'!E8,'سال 1393'!E8,'سال 1394'!E8,'سال 1395'!E8,'سال 1396'!E8,'سال 1397'!E8,'سال 1398'!E8,'سال 1399'!E8,'سال 1400'!E8,'سال 1401'!E8,'سال 1402'!E8,'سال 1403'!E8)</ns0:f>
        <ns0:v>1.2381</ns0:v>
      </ns0:c>
      <ns0:c r="H44" s="69">
        <ns0:f>MAX('سال 1392'!E8,'سال 1393'!E8,'سال 1394'!E8,'سال 1395'!E8,'سال 1396'!E8,'سال 1397'!E8,'سال 1398'!E8,'سال 1399'!E8,'سال 1400'!E8,'سال 1401'!E8,'سال 1402'!E8,'سال 1403'!E8)</ns0:f>
        <ns0:v>1.281</ns0:v>
      </ns0:c>
      <ns0:c r="I44" s="79">
        <ns0:f>H44-G44</ns0:f>
        <ns0:v>0.04289999999999994</ns0:v>
      </ns0:c>
    </ns0:row>
    <ns0:row r="45" ht="22" customHeight="1">
      <ns0:c r="A45" t="inlineStr">
        <ns0:is>
          <ns0:t>لبنیات و تخم‌مرغ</ns0:t>
        </ns0:is>
      </ns0:c>
      <ns0:c r="B45" s="68">
        <ns0:f>MIN('سال 1392'!D9,'سال 1393'!D9,'سال 1394'!D9,'سال 1395'!D9,'سال 1396'!D9,'سال 1397'!D9,'سال 1398'!D9,'سال 1399'!D9,'سال 1400'!D9,'سال 1401'!D9,'سال 1402'!D9,'سال 1403'!D9)</ns0:f>
        <ns0:v>0.8404</ns0:v>
      </ns0:c>
      <ns0:c r="C45" s="68">
        <ns0:f>MAX('سال 1392'!D9,'سال 1393'!D9,'سال 1394'!D9,'سال 1395'!D9,'سال 1396'!D9,'سال 1397'!D9,'سال 1398'!D9,'سال 1399'!D9,'سال 1400'!D9,'سال 1401'!D9,'سال 1402'!D9,'سال 1403'!D9)</ns0:f>
        <ns0:v>0.8698</ns0:v>
      </ns0:c>
      <ns0:c r="D45" s="79">
        <ns0:f>C45-B45</ns0:f>
        <ns0:v>0.02939999999999998</ns0:v>
      </ns0:c>
      <ns0:c r="F45" t="inlineStr">
        <ns0:is>
          <ns0:t>لبنیات و تخم‌مرغ</ns0:t>
        </ns0:is>
      </ns0:c>
      <ns0:c r="G45" s="69">
        <ns0:f>MIN('سال 1392'!E9,'سال 1393'!E9,'سال 1394'!E9,'سال 1395'!E9,'سال 1396'!E9,'سال 1397'!E9,'سال 1398'!E9,'سال 1399'!E9,'سال 1400'!E9,'سال 1401'!E9,'سال 1402'!E9,'سال 1403'!E9)</ns0:f>
        <ns0:v>0.8149</ns0:v>
      </ns0:c>
      <ns0:c r="H45" s="69">
        <ns0:f>MAX('سال 1392'!E9,'سال 1393'!E9,'سال 1394'!E9,'سال 1395'!E9,'سال 1396'!E9,'سال 1397'!E9,'سال 1398'!E9,'سال 1399'!E9,'سال 1400'!E9,'سال 1401'!E9,'سال 1402'!E9,'سال 1403'!E9)</ns0:f>
        <ns0:v>0.8482</ns0:v>
      </ns0:c>
      <ns0:c r="I45" s="79">
        <ns0:f>H45-G45</ns0:f>
        <ns0:v>0.033299999999999996</ns0:v>
      </ns0:c>
    </ns0:row>
    <ns0:row r="46" ht="22" customHeight="1">
      <ns0:c r="A46" t="inlineStr">
        <ns0:is>
          <ns0:t>روغن و چربی</ns0:t>
        </ns0:is>
      </ns0:c>
      <ns0:c r="B46" s="68">
        <ns0:f>MIN('سال 1392'!D10,'سال 1393'!D10,'سال 1394'!D10,'سال 1395'!D10,'سال 1396'!D10,'سال 1397'!D10,'سال 1398'!D10,'سال 1399'!D10,'سال 1400'!D10,'سال 1401'!D10,'سال 1402'!D10,'سال 1403'!D10)</ns0:f>
        <ns0:v>0.6493</ns0:v>
      </ns0:c>
      <ns0:c r="C46" s="68">
        <ns0:f>MAX('سال 1392'!D10,'سال 1393'!D10,'سال 1394'!D10,'سال 1395'!D10,'سال 1396'!D10,'سال 1397'!D10,'سال 1398'!D10,'سال 1399'!D10,'سال 1400'!D10,'سال 1401'!D10,'سال 1402'!D10,'سال 1403'!D10)</ns0:f>
        <ns0:v>0.9085</ns0:v>
      </ns0:c>
      <ns0:c r="D46" s="79">
        <ns0:f>C46-B46</ns0:f>
        <ns0:v>0.2592</ns0:v>
      </ns0:c>
      <ns0:c r="F46" t="inlineStr">
        <ns0:is>
          <ns0:t>روغن و چربی</ns0:t>
        </ns0:is>
      </ns0:c>
      <ns0:c r="G46" s="69">
        <ns0:f>MIN('سال 1392'!E10,'سال 1393'!E10,'سال 1394'!E10,'سال 1395'!E10,'سال 1396'!E10,'سال 1397'!E10,'سال 1398'!E10,'سال 1399'!E10,'سال 1400'!E10,'سال 1401'!E10,'سال 1402'!E10,'سال 1403'!E10)</ns0:f>
        <ns0:v>1.0034</ns0:v>
      </ns0:c>
      <ns0:c r="H46" s="69">
        <ns0:f>MAX('سال 1392'!E10,'سال 1393'!E10,'سال 1394'!E10,'سال 1395'!E10,'سال 1396'!E10,'سال 1397'!E10,'سال 1398'!E10,'سال 1399'!E10,'سال 1400'!E10,'سال 1401'!E10,'سال 1402'!E10,'سال 1403'!E10)</ns0:f>
        <ns0:v>1.1074</ns0:v>
      </ns0:c>
      <ns0:c r="I46" s="79">
        <ns0:f>H46-G46</ns0:f>
        <ns0:v>0.10399999999999987</ns0:v>
      </ns0:c>
    </ns0:row>
    <ns0:row r="47" ht="22" customHeight="1">
      <ns0:c r="A47" t="inlineStr">
        <ns0:is>
          <ns0:t>میوه</ns0:t>
        </ns0:is>
      </ns0:c>
      <ns0:c r="B47" s="68">
        <ns0:f>MIN('سال 1392'!D11,'سال 1393'!D11,'سال 1394'!D11,'سال 1395'!D11,'سال 1396'!D11,'سال 1397'!D11,'سال 1398'!D11,'سال 1399'!D11,'سال 1400'!D11,'سال 1401'!D11,'سال 1402'!D11,'سال 1403'!D11)</ns0:f>
        <ns0:v>1.2018</ns0:v>
      </ns0:c>
      <ns0:c r="C47" s="68">
        <ns0:f>MAX('سال 1392'!D11,'سال 1393'!D11,'سال 1394'!D11,'سال 1395'!D11,'سال 1396'!D11,'سال 1397'!D11,'سال 1398'!D11,'سال 1399'!D11,'سال 1400'!D11,'سال 1401'!D11,'سال 1402'!D11,'سال 1403'!D11)</ns0:f>
        <ns0:v>1.4387</ns0:v>
      </ns0:c>
      <ns0:c r="D47" s="79">
        <ns0:f>C47-B47</ns0:f>
        <ns0:v>0.2369000000000001</ns0:v>
      </ns0:c>
      <ns0:c r="F47" t="inlineStr">
        <ns0:is>
          <ns0:t>میوه</ns0:t>
        </ns0:is>
      </ns0:c>
      <ns0:c r="G47" s="69">
        <ns0:f>MIN('سال 1392'!E11,'سال 1393'!E11,'سال 1394'!E11,'سال 1395'!E11,'سال 1396'!E11,'سال 1397'!E11,'سال 1398'!E11,'سال 1399'!E11,'سال 1400'!E11,'سال 1401'!E11,'سال 1402'!E11,'سال 1403'!E11)</ns0:f>
        <ns0:v>1.242</ns0:v>
      </ns0:c>
      <ns0:c r="H47" s="69">
        <ns0:f>MAX('سال 1392'!E11,'سال 1393'!E11,'سال 1394'!E11,'سال 1395'!E11,'سال 1396'!E11,'سال 1397'!E11,'سال 1398'!E11,'سال 1399'!E11,'سال 1400'!E11,'سال 1401'!E11,'سال 1402'!E11,'سال 1403'!E11)</ns0:f>
        <ns0:v>1.4455</ns0:v>
      </ns0:c>
      <ns0:c r="I47" s="79">
        <ns0:f>H47-G47</ns0:f>
        <ns0:v>0.20350000000000001</ns0:v>
      </ns0:c>
    </ns0:row>
    <ns0:row r="48" ht="22" customHeight="1">
      <ns0:c r="A48" t="inlineStr">
        <ns0:is>
          <ns0:t>سبزیجات و سیب‌زمینی</ns0:t>
        </ns0:is>
      </ns0:c>
      <ns0:c r="B48" s="68">
        <ns0:f>MIN('سال 1392'!D12,'سال 1393'!D12,'سال 1394'!D12,'سال 1395'!D12,'سال 1396'!D12,'سال 1397'!D12,'سال 1398'!D12,'سال 1399'!D12,'سال 1400'!D12,'سال 1401'!D12,'سال 1402'!D12,'سال 1403'!D12)</ns0:f>
        <ns0:v>0.6902</ns0:v>
      </ns0:c>
      <ns0:c r="C48" s="68">
        <ns0:f>MAX('سال 1392'!D12,'سال 1393'!D12,'سال 1394'!D12,'سال 1395'!D12,'سال 1396'!D12,'سال 1397'!D12,'سال 1398'!D12,'سال 1399'!D12,'سال 1400'!D12,'سال 1401'!D12,'سال 1402'!D12,'سال 1403'!D12)</ns0:f>
        <ns0:v>0.7925</ns0:v>
      </ns0:c>
      <ns0:c r="D48" s="79">
        <ns0:f>C48-B48</ns0:f>
        <ns0:v>0.10229999999999995</ns0:v>
      </ns0:c>
      <ns0:c r="F48" t="inlineStr">
        <ns0:is>
          <ns0:t>سبزیجات و سیب‌زمینی</ns0:t>
        </ns0:is>
      </ns0:c>
      <ns0:c r="G48" s="69">
        <ns0:f>MIN('سال 1392'!E12,'سال 1393'!E12,'سال 1394'!E12,'سال 1395'!E12,'سال 1396'!E12,'سال 1397'!E12,'سال 1398'!E12,'سال 1399'!E12,'سال 1400'!E12,'سال 1401'!E12,'سال 1402'!E12,'سال 1403'!E12)</ns0:f>
        <ns0:v>0.6097</ns0:v>
      </ns0:c>
      <ns0:c r="H48" s="69">
        <ns0:f>MAX('سال 1392'!E12,'سال 1393'!E12,'سال 1394'!E12,'سال 1395'!E12,'سال 1396'!E12,'سال 1397'!E12,'سال 1398'!E12,'سال 1399'!E12,'سال 1400'!E12,'سال 1401'!E12,'سال 1402'!E12,'سال 1403'!E12)</ns0:f>
        <ns0:v>0.7367</ns0:v>
      </ns0:c>
      <ns0:c r="I48" s="79">
        <ns0:f>H48-G48</ns0:f>
        <ns0:v>0.127</ns0:v>
      </ns0:c>
    </ns0:row>
    <ns0:row r="49" ht="22" customHeight="1">
      <ns0:c r="A49" t="inlineStr">
        <ns0:is>
          <ns0:t>حبوبات</ns0:t>
        </ns0:is>
      </ns0:c>
      <ns0:c r="B49" s="68">
        <ns0:f>MIN('سال 1392'!D13,'سال 1393'!D13,'سال 1394'!D13,'سال 1395'!D13,'سال 1396'!D13,'سال 1397'!D13,'سال 1398'!D13,'سال 1399'!D13,'سال 1400'!D13,'سال 1401'!D13,'سال 1402'!D13,'سال 1403'!D13)</ns0:f>
        <ns0:v>0.9134</ns0:v>
      </ns0:c>
      <ns0:c r="C49" s="68">
        <ns0:f>MAX('سال 1392'!D13,'سال 1393'!D13,'سال 1394'!D13,'سال 1395'!D13,'سال 1396'!D13,'سال 1397'!D13,'سال 1398'!D13,'سال 1399'!D13,'سال 1400'!D13,'سال 1401'!D13,'سال 1402'!D13,'سال 1403'!D13)</ns0:f>
        <ns0:v>1.0492</ns0:v>
      </ns0:c>
      <ns0:c r="D49" s="79">
        <ns0:f>C49-B49</ns0:f>
        <ns0:v>0.13579999999999992</ns0:v>
      </ns0:c>
      <ns0:c r="F49" t="inlineStr">
        <ns0:is>
          <ns0:t>حبوبات</ns0:t>
        </ns0:is>
      </ns0:c>
      <ns0:c r="G49" s="69">
        <ns0:f>MIN('سال 1392'!E13,'سال 1393'!E13,'سال 1394'!E13,'سال 1395'!E13,'سال 1396'!E13,'سال 1397'!E13,'سال 1398'!E13,'سال 1399'!E13,'سال 1400'!E13,'سال 1401'!E13,'سال 1402'!E13,'سال 1403'!E13)</ns0:f>
        <ns0:v>1.1719</ns0:v>
      </ns0:c>
      <ns0:c r="H49" s="69">
        <ns0:f>MAX('سال 1392'!E13,'سال 1393'!E13,'سال 1394'!E13,'سال 1395'!E13,'سال 1396'!E13,'سال 1397'!E13,'سال 1398'!E13,'سال 1399'!E13,'سال 1400'!E13,'سال 1401'!E13,'سال 1402'!E13,'سال 1403'!E13)</ns0:f>
        <ns0:v>1.3185</ns0:v>
      </ns0:c>
      <ns0:c r="I49" s="79">
        <ns0:f>H49-G49</ns0:f>
        <ns0:v>0.14660000000000006</ns0:v>
      </ns0:c>
    </ns0:row>
    <ns0:row r="50" ht="22" customHeight="1">
      <ns0:c r="A50" t="inlineStr">
        <ns0:is>
          <ns0:t>مغزها، خشکبار و خرما</ns0:t>
        </ns0:is>
      </ns0:c>
      <ns0:c r="B50" s="68">
        <ns0:f>MIN('سال 1392'!D14,'سال 1393'!D14,'سال 1394'!D14,'سال 1395'!D14,'سال 1396'!D14,'سال 1397'!D14,'سال 1398'!D14,'سال 1399'!D14,'سال 1400'!D14,'سال 1401'!D14,'سال 1402'!D14,'سال 1403'!D14)</ns0:f>
        <ns0:v>2.0386</ns0:v>
      </ns0:c>
      <ns0:c r="C50" s="68">
        <ns0:f>MAX('سال 1392'!D14,'سال 1393'!D14,'سال 1394'!D14,'سال 1395'!D14,'سال 1396'!D14,'سال 1397'!D14,'سال 1398'!D14,'سال 1399'!D14,'سال 1400'!D14,'سال 1401'!D14,'سال 1402'!D14,'سال 1403'!D14)</ns0:f>
        <ns0:v>2.3249</ns0:v>
      </ns0:c>
      <ns0:c r="D50" s="79">
        <ns0:f>C50-B50</ns0:f>
        <ns0:v>0.2862999999999998</ns0:v>
      </ns0:c>
      <ns0:c r="F50" t="inlineStr">
        <ns0:is>
          <ns0:t>مغزها، خشکبار و خرما</ns0:t>
        </ns0:is>
      </ns0:c>
      <ns0:c r="G50" s="69">
        <ns0:f>MIN('سال 1392'!E14,'سال 1393'!E14,'سال 1394'!E14,'سال 1395'!E14,'سال 1396'!E14,'سال 1397'!E14,'سال 1398'!E14,'سال 1399'!E14,'سال 1400'!E14,'سال 1401'!E14,'سال 1402'!E14,'سال 1403'!E14)</ns0:f>
        <ns0:v>1.5255</ns0:v>
      </ns0:c>
      <ns0:c r="H50" s="69">
        <ns0:f>MAX('سال 1392'!E14,'سال 1393'!E14,'سال 1394'!E14,'سال 1395'!E14,'سال 1396'!E14,'سال 1397'!E14,'سال 1398'!E14,'سال 1399'!E14,'سال 1400'!E14,'سال 1401'!E14,'سال 1402'!E14,'سال 1403'!E14)</ns0:f>
        <ns0:v>1.7607</ns0:v>
      </ns0:c>
      <ns0:c r="I50" s="79">
        <ns0:f>H50-G50</ns0:f>
        <ns0:v>0.23519999999999985</ns0:v>
      </ns0:c>
    </ns0:row>
    <ns0:row r="51" ht="22" customHeight="1">
      <ns0:c r="A51" t="inlineStr">
        <ns0:is>
          <ns0:t>قند، شیرینی و تنقلات</ns0:t>
        </ns0:is>
      </ns0:c>
      <ns0:c r="B51" s="68">
        <ns0:f>MIN('سال 1392'!D15,'سال 1393'!D15,'سال 1394'!D15,'سال 1395'!D15,'سال 1396'!D15,'سال 1397'!D15,'سال 1398'!D15,'سال 1399'!D15,'سال 1400'!D15,'سال 1401'!D15,'سال 1402'!D15,'سال 1403'!D15)</ns0:f>
        <ns0:v>0.9632</ns0:v>
      </ns0:c>
      <ns0:c r="C51" s="68">
        <ns0:f>MAX('سال 1392'!D15,'سال 1393'!D15,'سال 1394'!D15,'سال 1395'!D15,'سال 1396'!D15,'سال 1397'!D15,'سال 1398'!D15,'سال 1399'!D15,'سال 1400'!D15,'سال 1401'!D15,'سال 1402'!D15,'سال 1403'!D15)</ns0:f>
        <ns0:v>1.0427</ns0:v>
      </ns0:c>
      <ns0:c r="D51" s="79">
        <ns0:f>C51-B51</ns0:f>
        <ns0:v>0.07950000000000002</ns0:v>
      </ns0:c>
      <ns0:c r="F51" t="inlineStr">
        <ns0:is>
          <ns0:t>قند، شیرینی و تنقلات</ns0:t>
        </ns0:is>
      </ns0:c>
      <ns0:c r="G51" s="69">
        <ns0:f>MIN('سال 1392'!E15,'سال 1393'!E15,'سال 1394'!E15,'سال 1395'!E15,'سال 1396'!E15,'سال 1397'!E15,'سال 1398'!E15,'سال 1399'!E15,'سال 1400'!E15,'سال 1401'!E15,'سال 1402'!E15,'سال 1403'!E15)</ns0:f>
        <ns0:v>0.9323</ns0:v>
      </ns0:c>
      <ns0:c r="H51" s="69">
        <ns0:f>MAX('سال 1392'!E15,'سال 1393'!E15,'سال 1394'!E15,'سال 1395'!E15,'سال 1396'!E15,'سال 1397'!E15,'سال 1398'!E15,'سال 1399'!E15,'سال 1400'!E15,'سال 1401'!E15,'سال 1402'!E15,'سال 1403'!E15)</ns0:f>
        <ns0:v>1.0073</ns0:v>
      </ns0:c>
      <ns0:c r="I51" s="79">
        <ns0:f>H51-G51</ns0:f>
        <ns0:v>0.07500000000000007</ns0:v>
      </ns0:c>
    </ns0:row>
    <ns0:row r="52" ht="22" customHeight="1">
      <ns0:c r="A52" t="inlineStr">
        <ns0:is>
          <ns0:t>نوشیدنی بدون نوشابه</ns0:t>
        </ns0:is>
      </ns0:c>
      <ns0:c r="B52" s="68">
        <ns0:f>MIN('سال 1392'!D16,'سال 1393'!D16,'سال 1394'!D16,'سال 1395'!D16,'سال 1396'!D16,'سال 1397'!D16,'سال 1398'!D16,'سال 1399'!D16,'سال 1400'!D16,'سال 1401'!D16,'سال 1402'!D16,'سال 1403'!D16)</ns0:f>
        <ns0:v>0.8052</ns0:v>
      </ns0:c>
      <ns0:c r="C52" s="68">
        <ns0:f>MAX('سال 1392'!D16,'سال 1393'!D16,'سال 1394'!D16,'سال 1395'!D16,'سال 1396'!D16,'سال 1397'!D16,'سال 1398'!D16,'سال 1399'!D16,'سال 1400'!D16,'سال 1401'!D16,'سال 1402'!D16,'سال 1403'!D16)</ns0:f>
        <ns0:v>0.9918</ns0:v>
      </ns0:c>
      <ns0:c r="D52" s="79">
        <ns0:f>C52-B52</ns0:f>
        <ns0:v>0.1866</ns0:v>
      </ns0:c>
      <ns0:c r="F52" t="inlineStr">
        <ns0:is>
          <ns0:t>نوشیدنی بدون نوشابه</ns0:t>
        </ns0:is>
      </ns0:c>
      <ns0:c r="G52" s="69">
        <ns0:f>MIN('سال 1392'!E16,'سال 1393'!E16,'سال 1394'!E16,'سال 1395'!E16,'سال 1396'!E16,'سال 1397'!E16,'سال 1398'!E16,'سال 1399'!E16,'سال 1400'!E16,'سال 1401'!E16,'سال 1402'!E16,'سال 1403'!E16)</ns0:f>
        <ns0:v>0.9951</ns0:v>
      </ns0:c>
      <ns0:c r="H52" s="69">
        <ns0:f>MAX('سال 1392'!E16,'سال 1393'!E16,'سال 1394'!E16,'سال 1395'!E16,'سال 1396'!E16,'سال 1397'!E16,'سال 1398'!E16,'سال 1399'!E16,'سال 1400'!E16,'سال 1401'!E16,'سال 1402'!E16,'سال 1403'!E16)</ns0:f>
        <ns0:v>1.2021</ns0:v>
      </ns0:c>
      <ns0:c r="I52" s="79">
        <ns0:f>H52-G52</ns0:f>
        <ns0:v>0.20699999999999996</ns0:v>
      </ns0:c>
    </ns0:row>
    <ns0:row r="53" ht="22" customHeight="1">
      <ns0:c r="A53" t="inlineStr">
        <ns0:is>
          <ns0:t>ادویه و چاشنی</ns0:t>
        </ns0:is>
      </ns0:c>
      <ns0:c r="B53" s="68">
        <ns0:f>MIN('سال 1392'!D17,'سال 1393'!D17,'سال 1394'!D17,'سال 1395'!D17,'سال 1396'!D17,'سال 1397'!D17,'سال 1398'!D17,'سال 1399'!D17,'سال 1400'!D17,'سال 1401'!D17,'سال 1402'!D17,'سال 1403'!D17)</ns0:f>
        <ns0:v>0.7801</ns0:v>
      </ns0:c>
      <ns0:c r="C53" s="68">
        <ns0:f>MAX('سال 1392'!D17,'سال 1393'!D17,'سال 1394'!D17,'سال 1395'!D17,'سال 1396'!D17,'سال 1397'!D17,'سال 1398'!D17,'سال 1399'!D17,'سال 1400'!D17,'سال 1401'!D17,'سال 1402'!D17,'سال 1403'!D17)</ns0:f>
        <ns0:v>0.8801</ns0:v>
      </ns0:c>
      <ns0:c r="D53" s="79">
        <ns0:f>C53-B53</ns0:f>
        <ns0:v>0.09999999999999998</ns0:v>
      </ns0:c>
      <ns0:c r="F53" t="inlineStr">
        <ns0:is>
          <ns0:t>ادویه و چاشنی</ns0:t>
        </ns0:is>
      </ns0:c>
      <ns0:c r="G53" s="69">
        <ns0:f>MIN('سال 1392'!E17,'سال 1393'!E17,'سال 1394'!E17,'سال 1395'!E17,'سال 1396'!E17,'سال 1397'!E17,'سال 1398'!E17,'سال 1399'!E17,'سال 1400'!E17,'سال 1401'!E17,'سال 1402'!E17,'سال 1403'!E17)</ns0:f>
        <ns0:v>0.6057</ns0:v>
      </ns0:c>
      <ns0:c r="H53" s="69">
        <ns0:f>MAX('سال 1392'!E17,'سال 1393'!E17,'سال 1394'!E17,'سال 1395'!E17,'سال 1396'!E17,'سال 1397'!E17,'سال 1398'!E17,'سال 1399'!E17,'سال 1400'!E17,'سال 1401'!E17,'سال 1402'!E17,'سال 1403'!E17)</ns0:f>
        <ns0:v>0.7541</ns0:v>
      </ns0:c>
      <ns0:c r="I53" s="79">
        <ns0:f>H53-G53</ns0:f>
        <ns0:v>0.14839999999999998</ns0:v>
      </ns0:c>
    </ns0:row>
    <ns0:row r="54"/>
    <ns0:row r="55"/>
    <ns0:row r="56"/>
    <ns0:row r="57"/>
    <ns0:row r="58" ht="27" customHeight="1">
      <ns0:c r="A58" s="15" t="inlineStr">
        <ns0:is>
          <ns0:t>کوهرت • کشش مخارج غذایی | B1</ns0:t>
        </ns0:is>
      </ns0:c>
      <ns0:c r="B58" s="1" t="n"/>
      <ns0:c r="C58" s="1" t="n"/>
      <ns0:c r="D58" s="1" t="n"/>
      <ns0:c r="F58" s="55" t="inlineStr">
        <ns0:is>
          <ns0:t>کوهرت • کشش مخارج غذایی | B2</ns0:t>
        </ns0:is>
      </ns0:c>
      <ns0:c r="G58" s="1" t="n"/>
      <ns0:c r="H58" s="1" t="n"/>
      <ns0:c r="I58" s="1" t="n"/>
    </ns0:row>
    <ns0:row r="59" ht="23" customHeight="1">
      <ns0:c r="A59" s="46" t="inlineStr">
        <ns0:is>
          <ns0:t>گروه کالایی</ns0:t>
        </ns0:is>
      </ns0:c>
      <ns0:c r="B59" s="46" t="inlineStr">
        <ns0:is>
          <ns0:t>کمینه</ns0:t>
        </ns0:is>
      </ns0:c>
      <ns0:c r="C59" s="46" t="inlineStr">
        <ns0:is>
          <ns0:t>بیشینه</ns0:t>
        </ns0:is>
      </ns0:c>
      <ns0:c r="D59" s="46" t="inlineStr">
        <ns0:is>
          <ns0:t>دامنه</ns0:t>
        </ns0:is>
      </ns0:c>
      <ns0:c r="F59" s="57" t="inlineStr">
        <ns0:is>
          <ns0:t>گروه کالایی</ns0:t>
        </ns0:is>
      </ns0:c>
      <ns0:c r="G59" s="57" t="inlineStr">
        <ns0:is>
          <ns0:t>کمینه</ns0:t>
        </ns0:is>
      </ns0:c>
      <ns0:c r="H59" s="57" t="inlineStr">
        <ns0:is>
          <ns0:t>بیشینه</ns0:t>
        </ns0:is>
      </ns0:c>
      <ns0:c r="I59" s="57" t="inlineStr">
        <ns0:is>
          <ns0:t>دامنه</ns0:t>
        </ns0:is>
      </ns0:c>
    </ns0:row>
    <ns0:row r="60" ht="22" customHeight="1">
      <ns0:c r="A60" t="inlineStr">
        <ns0:is>
          <ns0:t>برنج</ns0:t>
        </ns0:is>
      </ns0:c>
      <ns0:c r="B60" s="68">
        <ns0:f>MIN('کوهرت 1392'!D6,'کوهرت 1393'!D6,'کوهرت 1394'!D6,'کوهرت 1397'!D6,'کوهرت 1398'!D6,'کوهرت 1399'!D6,'کوهرت 1400'!D6,'کوهرت 1401'!D6)</ns0:f>
        <ns0:v>1.5573</ns0:v>
      </ns0:c>
      <ns0:c r="C60" s="68">
        <ns0:f>MAX('کوهرت 1392'!D6,'کوهرت 1393'!D6,'کوهرت 1394'!D6,'کوهرت 1397'!D6,'کوهرت 1398'!D6,'کوهرت 1399'!D6,'کوهرت 1400'!D6,'کوهرت 1401'!D6)</ns0:f>
        <ns0:v>1.5723</ns0:v>
      </ns0:c>
      <ns0:c r="D60" s="79">
        <ns0:f>C60-B60</ns0:f>
        <ns0:v>0.015000000000000124</ns0:v>
      </ns0:c>
      <ns0:c r="F60" t="inlineStr">
        <ns0:is>
          <ns0:t>برنج</ns0:t>
        </ns0:is>
      </ns0:c>
      <ns0:c r="G60" s="69">
        <ns0:f>MIN('کوهرت 1392'!E6,'کوهرت 1393'!E6,'کوهرت 1394'!E6,'کوهرت 1397'!E6,'کوهرت 1398'!E6,'کوهرت 1399'!E6,'کوهرت 1400'!E6,'کوهرت 1401'!E6)</ns0:f>
        <ns0:v>1.61</ns0:v>
      </ns0:c>
      <ns0:c r="H60" s="69">
        <ns0:f>MAX('کوهرت 1392'!E6,'کوهرت 1393'!E6,'کوهرت 1394'!E6,'کوهرت 1397'!E6,'کوهرت 1398'!E6,'کوهرت 1399'!E6,'کوهرت 1400'!E6,'کوهرت 1401'!E6)</ns0:f>
        <ns0:v>1.6254</ns0:v>
      </ns0:c>
      <ns0:c r="I60" s="79">
        <ns0:f>H60-G60</ns0:f>
        <ns0:v>0.015399999999999858</ns0:v>
      </ns0:c>
    </ns0:row>
    <ns0:row r="61" ht="22" customHeight="1">
      <ns0:c r="A61" t="inlineStr">
        <ns0:is>
          <ns0:t>نان و غلات</ns0:t>
        </ns0:is>
      </ns0:c>
      <ns0:c r="B61" s="68">
        <ns0:f>MIN('کوهرت 1392'!D7,'کوهرت 1393'!D7,'کوهرت 1394'!D7,'کوهرت 1397'!D7,'کوهرت 1398'!D7,'کوهرت 1399'!D7,'کوهرت 1400'!D7,'کوهرت 1401'!D7)</ns0:f>
        <ns0:v>0.0041</ns0:v>
      </ns0:c>
      <ns0:c r="C61" s="68">
        <ns0:f>MAX('کوهرت 1392'!D7,'کوهرت 1393'!D7,'کوهرت 1394'!D7,'کوهرت 1397'!D7,'کوهرت 1398'!D7,'کوهرت 1399'!D7,'کوهرت 1400'!D7,'کوهرت 1401'!D7)</ns0:f>
        <ns0:v>0.6093</ns0:v>
      </ns0:c>
      <ns0:c r="D61" s="79">
        <ns0:f>C61-B61</ns0:f>
        <ns0:v>0.6052</ns0:v>
      </ns0:c>
      <ns0:c r="F61" t="inlineStr">
        <ns0:is>
          <ns0:t>نان و غلات</ns0:t>
        </ns0:is>
      </ns0:c>
      <ns0:c r="G61" s="69">
        <ns0:f>MIN('کوهرت 1392'!E7,'کوهرت 1393'!E7,'کوهرت 1394'!E7,'کوهرت 1397'!E7,'کوهرت 1398'!E7,'کوهرت 1399'!E7,'کوهرت 1400'!E7,'کوهرت 1401'!E7)</ns0:f>
        <ns0:v>-0.1799</ns0:v>
      </ns0:c>
      <ns0:c r="H61" s="69">
        <ns0:f>MAX('کوهرت 1392'!E7,'کوهرت 1393'!E7,'کوهرت 1394'!E7,'کوهرت 1397'!E7,'کوهرت 1398'!E7,'کوهرت 1399'!E7,'کوهرت 1400'!E7,'کوهرت 1401'!E7)</ns0:f>
        <ns0:v>0.5268</ns0:v>
      </ns0:c>
      <ns0:c r="I61" s="79">
        <ns0:f>H61-G61</ns0:f>
        <ns0:v>0.7067000000000001</ns0:v>
      </ns0:c>
    </ns0:row>
    <ns0:row r="62" ht="22" customHeight="1">
      <ns0:c r="A62" t="inlineStr">
        <ns0:is>
          <ns0:t>گوشت</ns0:t>
        </ns0:is>
      </ns0:c>
      <ns0:c r="B62" s="68">
        <ns0:f>MIN('کوهرت 1392'!D8,'کوهرت 1393'!D8,'کوهرت 1394'!D8,'کوهرت 1397'!D8,'کوهرت 1398'!D8,'کوهرت 1399'!D8,'کوهرت 1400'!D8,'کوهرت 1401'!D8)</ns0:f>
        <ns0:v>1.2327</ns0:v>
      </ns0:c>
      <ns0:c r="C62" s="68">
        <ns0:f>MAX('کوهرت 1392'!D8,'کوهرت 1393'!D8,'کوهرت 1394'!D8,'کوهرت 1397'!D8,'کوهرت 1398'!D8,'کوهرت 1399'!D8,'کوهرت 1400'!D8,'کوهرت 1401'!D8)</ns0:f>
        <ns0:v>1.2487</ns0:v>
      </ns0:c>
      <ns0:c r="D62" s="79">
        <ns0:f>C62-B62</ns0:f>
        <ns0:v>0.016000000000000014</ns0:v>
      </ns0:c>
      <ns0:c r="F62" t="inlineStr">
        <ns0:is>
          <ns0:t>گوشت</ns0:t>
        </ns0:is>
      </ns0:c>
      <ns0:c r="G62" s="69">
        <ns0:f>MIN('کوهرت 1392'!E8,'کوهرت 1393'!E8,'کوهرت 1394'!E8,'کوهرت 1397'!E8,'کوهرت 1398'!E8,'کوهرت 1399'!E8,'کوهرت 1400'!E8,'کوهرت 1401'!E8)</ns0:f>
        <ns0:v>1.2542</ns0:v>
      </ns0:c>
      <ns0:c r="H62" s="69">
        <ns0:f>MAX('کوهرت 1392'!E8,'کوهرت 1393'!E8,'کوهرت 1394'!E8,'کوهرت 1397'!E8,'کوهرت 1398'!E8,'کوهرت 1399'!E8,'کوهرت 1400'!E8,'کوهرت 1401'!E8)</ns0:f>
        <ns0:v>1.2695</ns0:v>
      </ns0:c>
      <ns0:c r="I62" s="79">
        <ns0:f>H62-G62</ns0:f>
        <ns0:v>0.015300000000000091</ns0:v>
      </ns0:c>
    </ns0:row>
    <ns0:row r="63" ht="22" customHeight="1">
      <ns0:c r="A63" t="inlineStr">
        <ns0:is>
          <ns0:t>لبنیات و تخم‌مرغ</ns0:t>
        </ns0:is>
      </ns0:c>
      <ns0:c r="B63" s="68">
        <ns0:f>MIN('کوهرت 1392'!D9,'کوهرت 1393'!D9,'کوهرت 1394'!D9,'کوهرت 1397'!D9,'کوهرت 1398'!D9,'کوهرت 1399'!D9,'کوهرت 1400'!D9,'کوهرت 1401'!D9)</ns0:f>
        <ns0:v>0.8473</ns0:v>
      </ns0:c>
      <ns0:c r="C63" s="68">
        <ns0:f>MAX('کوهرت 1392'!D9,'کوهرت 1393'!D9,'کوهرت 1394'!D9,'کوهرت 1397'!D9,'کوهرت 1398'!D9,'کوهرت 1399'!D9,'کوهرت 1400'!D9,'کوهرت 1401'!D9)</ns0:f>
        <ns0:v>0.8663</ns0:v>
      </ns0:c>
      <ns0:c r="D63" s="79">
        <ns0:f>C63-B63</ns0:f>
        <ns0:v>0.018999999999999906</ns0:v>
      </ns0:c>
      <ns0:c r="F63" t="inlineStr">
        <ns0:is>
          <ns0:t>لبنیات و تخم‌مرغ</ns0:t>
        </ns0:is>
      </ns0:c>
      <ns0:c r="G63" s="69">
        <ns0:f>MIN('کوهرت 1392'!E9,'کوهرت 1393'!E9,'کوهرت 1394'!E9,'کوهرت 1397'!E9,'کوهرت 1398'!E9,'کوهرت 1399'!E9,'کوهرت 1400'!E9,'کوهرت 1401'!E9)</ns0:f>
        <ns0:v>0.8226</ns0:v>
      </ns0:c>
      <ns0:c r="H63" s="69">
        <ns0:f>MAX('کوهرت 1392'!E9,'کوهرت 1393'!E9,'کوهرت 1394'!E9,'کوهرت 1397'!E9,'کوهرت 1398'!E9,'کوهرت 1399'!E9,'کوهرت 1400'!E9,'کوهرت 1401'!E9)</ns0:f>
        <ns0:v>0.8443</ns0:v>
      </ns0:c>
      <ns0:c r="I63" s="79">
        <ns0:f>H63-G63</ns0:f>
        <ns0:v>0.021700000000000053</ns0:v>
      </ns0:c>
    </ns0:row>
    <ns0:row r="64" ht="22" customHeight="1">
      <ns0:c r="A64" t="inlineStr">
        <ns0:is>
          <ns0:t>روغن و چربی</ns0:t>
        </ns0:is>
      </ns0:c>
      <ns0:c r="B64" s="68">
        <ns0:f>MIN('کوهرت 1392'!D10,'کوهرت 1393'!D10,'کوهرت 1394'!D10,'کوهرت 1397'!D10,'کوهرت 1398'!D10,'کوهرت 1399'!D10,'کوهرت 1400'!D10,'کوهرت 1401'!D10)</ns0:f>
        <ns0:v>0.6557</ns0:v>
      </ns0:c>
      <ns0:c r="C64" s="68">
        <ns0:f>MAX('کوهرت 1392'!D10,'کوهرت 1393'!D10,'کوهرت 1394'!D10,'کوهرت 1397'!D10,'کوهرت 1398'!D10,'کوهرت 1399'!D10,'کوهرت 1400'!D10,'کوهرت 1401'!D10)</ns0:f>
        <ns0:v>0.8441</ns0:v>
      </ns0:c>
      <ns0:c r="D64" s="79">
        <ns0:f>C64-B64</ns0:f>
        <ns0:v>0.1884</ns0:v>
      </ns0:c>
      <ns0:c r="F64" t="inlineStr">
        <ns0:is>
          <ns0:t>روغن و چربی</ns0:t>
        </ns0:is>
      </ns0:c>
      <ns0:c r="G64" s="69">
        <ns0:f>MIN('کوهرت 1392'!E10,'کوهرت 1393'!E10,'کوهرت 1394'!E10,'کوهرت 1397'!E10,'کوهرت 1398'!E10,'کوهرت 1399'!E10,'کوهرت 1400'!E10,'کوهرت 1401'!E10)</ns0:f>
        <ns0:v>1.0088</ns0:v>
      </ns0:c>
      <ns0:c r="H64" s="69">
        <ns0:f>MAX('کوهرت 1392'!E10,'کوهرت 1393'!E10,'کوهرت 1394'!E10,'کوهرت 1397'!E10,'کوهرت 1398'!E10,'کوهرت 1399'!E10,'کوهرت 1400'!E10,'کوهرت 1401'!E10)</ns0:f>
        <ns0:v>1.089</ns0:v>
      </ns0:c>
      <ns0:c r="I64" s="79">
        <ns0:f>H64-G64</ns0:f>
        <ns0:v>0.08020000000000005</ns0:v>
      </ns0:c>
    </ns0:row>
    <ns0:row r="65" ht="22" customHeight="1">
      <ns0:c r="A65" t="inlineStr">
        <ns0:is>
          <ns0:t>میوه</ns0:t>
        </ns0:is>
      </ns0:c>
      <ns0:c r="B65" s="68">
        <ns0:f>MIN('کوهرت 1392'!D11,'کوهرت 1393'!D11,'کوهرت 1394'!D11,'کوهرت 1397'!D11,'کوهرت 1398'!D11,'کوهرت 1399'!D11,'کوهرت 1400'!D11,'کوهرت 1401'!D11)</ns0:f>
        <ns0:v>1.2193</ns0:v>
      </ns0:c>
      <ns0:c r="C65" s="68">
        <ns0:f>MAX('کوهرت 1392'!D11,'کوهرت 1393'!D11,'کوهرت 1394'!D11,'کوهرت 1397'!D11,'کوهرت 1398'!D11,'کوهرت 1399'!D11,'کوهرت 1400'!D11,'کوهرت 1401'!D11)</ns0:f>
        <ns0:v>1.3684</ns0:v>
      </ns0:c>
      <ns0:c r="D65" s="79">
        <ns0:f>C65-B65</ns0:f>
        <ns0:v>0.1491</ns0:v>
      </ns0:c>
      <ns0:c r="F65" t="inlineStr">
        <ns0:is>
          <ns0:t>میوه</ns0:t>
        </ns0:is>
      </ns0:c>
      <ns0:c r="G65" s="69">
        <ns0:f>MIN('کوهرت 1392'!E11,'کوهرت 1393'!E11,'کوهرت 1394'!E11,'کوهرت 1397'!E11,'کوهرت 1398'!E11,'کوهرت 1399'!E11,'کوهرت 1400'!E11,'کوهرت 1401'!E11)</ns0:f>
        <ns0:v>1.2558</ns0:v>
      </ns0:c>
      <ns0:c r="H65" s="69">
        <ns0:f>MAX('کوهرت 1392'!E11,'کوهرت 1393'!E11,'کوهرت 1394'!E11,'کوهرت 1397'!E11,'کوهرت 1398'!E11,'کوهرت 1399'!E11,'کوهرت 1400'!E11,'کوهرت 1401'!E11)</ns0:f>
        <ns0:v>1.3906</ns0:v>
      </ns0:c>
      <ns0:c r="I65" s="79">
        <ns0:f>H65-G65</ns0:f>
        <ns0:v>0.13480000000000003</ns0:v>
      </ns0:c>
    </ns0:row>
    <ns0:row r="66" ht="22" customHeight="1">
      <ns0:c r="A66" t="inlineStr">
        <ns0:is>
          <ns0:t>سبزیجات و سیب‌زمینی</ns0:t>
        </ns0:is>
      </ns0:c>
      <ns0:c r="B66" s="68">
        <ns0:f>MIN('کوهرت 1392'!D12,'کوهرت 1393'!D12,'کوهرت 1394'!D12,'کوهرت 1397'!D12,'کوهرت 1398'!D12,'کوهرت 1399'!D12,'کوهرت 1400'!D12,'کوهرت 1401'!D12)</ns0:f>
        <ns0:v>0.7049</ns0:v>
      </ns0:c>
      <ns0:c r="C66" s="68">
        <ns0:f>MAX('کوهرت 1392'!D12,'کوهرت 1393'!D12,'کوهرت 1394'!D12,'کوهرت 1397'!D12,'کوهرت 1398'!D12,'کوهرت 1399'!D12,'کوهرت 1400'!D12,'کوهرت 1401'!D12)</ns0:f>
        <ns0:v>0.7867</ns0:v>
      </ns0:c>
      <ns0:c r="D66" s="79">
        <ns0:f>C66-B66</ns0:f>
        <ns0:v>0.08179999999999998</ns0:v>
      </ns0:c>
      <ns0:c r="F66" t="inlineStr">
        <ns0:is>
          <ns0:t>سبزیجات و سیب‌زمینی</ns0:t>
        </ns0:is>
      </ns0:c>
      <ns0:c r="G66" s="69">
        <ns0:f>MIN('کوهرت 1392'!E12,'کوهرت 1393'!E12,'کوهرت 1394'!E12,'کوهرت 1397'!E12,'کوهرت 1398'!E12,'کوهرت 1399'!E12,'کوهرت 1400'!E12,'کوهرت 1401'!E12)</ns0:f>
        <ns0:v>0.6263</ns0:v>
      </ns0:c>
      <ns0:c r="H66" s="69">
        <ns0:f>MAX('کوهرت 1392'!E12,'کوهرت 1393'!E12,'کوهرت 1394'!E12,'کوهرت 1397'!E12,'کوهرت 1398'!E12,'کوهرت 1399'!E12,'کوهرت 1400'!E12,'کوهرت 1401'!E12)</ns0:f>
        <ns0:v>0.729</ns0:v>
      </ns0:c>
      <ns0:c r="I66" s="79">
        <ns0:f>H66-G66</ns0:f>
        <ns0:v>0.10270000000000001</ns0:v>
      </ns0:c>
    </ns0:row>
    <ns0:row r="67" ht="22" customHeight="1">
      <ns0:c r="A67" t="inlineStr">
        <ns0:is>
          <ns0:t>حبوبات</ns0:t>
        </ns0:is>
      </ns0:c>
      <ns0:c r="B67" s="68">
        <ns0:f>MIN('کوهرت 1392'!D13,'کوهرت 1393'!D13,'کوهرت 1394'!D13,'کوهرت 1397'!D13,'کوهرت 1398'!D13,'کوهرت 1399'!D13,'کوهرت 1400'!D13,'کوهرت 1401'!D13)</ns0:f>
        <ns0:v>0.9203</ns0:v>
      </ns0:c>
      <ns0:c r="C67" s="68">
        <ns0:f>MAX('کوهرت 1392'!D13,'کوهرت 1393'!D13,'کوهرت 1394'!D13,'کوهرت 1397'!D13,'کوهرت 1398'!D13,'کوهرت 1399'!D13,'کوهرت 1400'!D13,'کوهرت 1401'!D13)</ns0:f>
        <ns0:v>1.0441</ns0:v>
      </ns0:c>
      <ns0:c r="D67" s="79">
        <ns0:f>C67-B67</ns0:f>
        <ns0:v>0.12380000000000002</ns0:v>
      </ns0:c>
      <ns0:c r="F67" t="inlineStr">
        <ns0:is>
          <ns0:t>حبوبات</ns0:t>
        </ns0:is>
      </ns0:c>
      <ns0:c r="G67" s="69">
        <ns0:f>MIN('کوهرت 1392'!E13,'کوهرت 1393'!E13,'کوهرت 1394'!E13,'کوهرت 1397'!E13,'کوهرت 1398'!E13,'کوهرت 1399'!E13,'کوهرت 1400'!E13,'کوهرت 1401'!E13)</ns0:f>
        <ns0:v>1.1805</ns0:v>
      </ns0:c>
      <ns0:c r="H67" s="69">
        <ns0:f>MAX('کوهرت 1392'!E13,'کوهرت 1393'!E13,'کوهرت 1394'!E13,'کوهرت 1397'!E13,'کوهرت 1398'!E13,'کوهرت 1399'!E13,'کوهرت 1400'!E13,'کوهرت 1401'!E13)</ns0:f>
        <ns0:v>1.3123</ns0:v>
      </ns0:c>
      <ns0:c r="I67" s="79">
        <ns0:f>H67-G67</ns0:f>
        <ns0:v>0.13179999999999992</ns0:v>
      </ns0:c>
    </ns0:row>
    <ns0:row r="68" ht="22" customHeight="1">
      <ns0:c r="A68" t="inlineStr">
        <ns0:is>
          <ns0:t>مغزها، خشکبار و خرما</ns0:t>
        </ns0:is>
      </ns0:c>
      <ns0:c r="B68" s="68">
        <ns0:f>MIN('کوهرت 1392'!D14,'کوهرت 1393'!D14,'کوهرت 1394'!D14,'کوهرت 1397'!D14,'کوهرت 1398'!D14,'کوهرت 1399'!D14,'کوهرت 1400'!D14,'کوهرت 1401'!D14)</ns0:f>
        <ns0:v>2.065</ns0:v>
      </ns0:c>
      <ns0:c r="C68" s="68">
        <ns0:f>MAX('کوهرت 1392'!D14,'کوهرت 1393'!D14,'کوهرت 1394'!D14,'کوهرت 1397'!D14,'کوهرت 1398'!D14,'کوهرت 1399'!D14,'کوهرت 1400'!D14,'کوهرت 1401'!D14)</ns0:f>
        <ns0:v>2.3018</ns0:v>
      </ns0:c>
      <ns0:c r="D68" s="79">
        <ns0:f>C68-B68</ns0:f>
        <ns0:v>0.23680000000000012</ns0:v>
      </ns0:c>
      <ns0:c r="F68" t="inlineStr">
        <ns0:is>
          <ns0:t>مغزها، خشکبار و خرما</ns0:t>
        </ns0:is>
      </ns0:c>
      <ns0:c r="G68" s="69">
        <ns0:f>MIN('کوهرت 1392'!E14,'کوهرت 1393'!E14,'کوهرت 1394'!E14,'کوهرت 1397'!E14,'کوهرت 1398'!E14,'کوهرت 1399'!E14,'کوهرت 1400'!E14,'کوهرت 1401'!E14)</ns0:f>
        <ns0:v>1.5745</ns0:v>
      </ns0:c>
      <ns0:c r="H68" s="69">
        <ns0:f>MAX('کوهرت 1392'!E14,'کوهرت 1393'!E14,'کوهرت 1394'!E14,'کوهرت 1397'!E14,'کوهرت 1398'!E14,'کوهرت 1399'!E14,'کوهرت 1400'!E14,'کوهرت 1401'!E14)</ns0:f>
        <ns0:v>1.6756</ns0:v>
      </ns0:c>
      <ns0:c r="I68" s="79">
        <ns0:f>H68-G68</ns0:f>
        <ns0:v>0.10109999999999997</ns0:v>
      </ns0:c>
    </ns0:row>
    <ns0:row r="69" ht="22" customHeight="1">
      <ns0:c r="A69" t="inlineStr">
        <ns0:is>
          <ns0:t>قند، شیرینی و تنقلات</ns0:t>
        </ns0:is>
      </ns0:c>
      <ns0:c r="B69" s="68">
        <ns0:f>MIN('کوهرت 1392'!D15,'کوهرت 1393'!D15,'کوهرت 1394'!D15,'کوهرت 1397'!D15,'کوهرت 1398'!D15,'کوهرت 1399'!D15,'کوهرت 1400'!D15,'کوهرت 1401'!D15)</ns0:f>
        <ns0:v>0.9738</ns0:v>
      </ns0:c>
      <ns0:c r="C69" s="68">
        <ns0:f>MAX('کوهرت 1392'!D15,'کوهرت 1393'!D15,'کوهرت 1394'!D15,'کوهرت 1397'!D15,'کوهرت 1398'!D15,'کوهرت 1399'!D15,'کوهرت 1400'!D15,'کوهرت 1401'!D15)</ns0:f>
        <ns0:v>1.0391</ns0:v>
      </ns0:c>
      <ns0:c r="D69" s="79">
        <ns0:f>C69-B69</ns0:f>
        <ns0:v>0.06529999999999991</ns0:v>
      </ns0:c>
      <ns0:c r="F69" t="inlineStr">
        <ns0:is>
          <ns0:t>قند، شیرینی و تنقلات</ns0:t>
        </ns0:is>
      </ns0:c>
      <ns0:c r="G69" s="69">
        <ns0:f>MIN('کوهرت 1392'!E15,'کوهرت 1393'!E15,'کوهرت 1394'!E15,'کوهرت 1397'!E15,'کوهرت 1398'!E15,'کوهرت 1399'!E15,'کوهرت 1400'!E15,'کوهرت 1401'!E15)</ns0:f>
        <ns0:v>0.9472</ns0:v>
      </ns0:c>
      <ns0:c r="H69" s="69">
        <ns0:f>MAX('کوهرت 1392'!E15,'کوهرت 1393'!E15,'کوهرت 1394'!E15,'کوهرت 1397'!E15,'کوهرت 1398'!E15,'کوهرت 1399'!E15,'کوهرت 1400'!E15,'کوهرت 1401'!E15)</ns0:f>
        <ns0:v>0.9997</ns0:v>
      </ns0:c>
      <ns0:c r="I69" s="79">
        <ns0:f>H69-G69</ns0:f>
        <ns0:v>0.05249999999999999</ns0:v>
      </ns0:c>
    </ns0:row>
    <ns0:row r="70" ht="22" customHeight="1">
      <ns0:c r="A70" t="inlineStr">
        <ns0:is>
          <ns0:t>نوشیدنی بدون نوشابه</ns0:t>
        </ns0:is>
      </ns0:c>
      <ns0:c r="B70" s="68">
        <ns0:f>MIN('کوهرت 1392'!D16,'کوهرت 1393'!D16,'کوهرت 1394'!D16,'کوهرت 1397'!D16,'کوهرت 1398'!D16,'کوهرت 1399'!D16,'کوهرت 1400'!D16,'کوهرت 1401'!D16)</ns0:f>
        <ns0:v>0.814</ns0:v>
      </ns0:c>
      <ns0:c r="C70" s="68">
        <ns0:f>MAX('کوهرت 1392'!D16,'کوهرت 1393'!D16,'کوهرت 1394'!D16,'کوهرت 1397'!D16,'کوهرت 1398'!D16,'کوهرت 1399'!D16,'کوهرت 1400'!D16,'کوهرت 1401'!D16)</ns0:f>
        <ns0:v>0.9687</ns0:v>
      </ns0:c>
      <ns0:c r="D70" s="79">
        <ns0:f>C70-B70</ns0:f>
        <ns0:v>0.15470000000000006</ns0:v>
      </ns0:c>
      <ns0:c r="F70" t="inlineStr">
        <ns0:is>
          <ns0:t>نوشیدنی بدون نوشابه</ns0:t>
        </ns0:is>
      </ns0:c>
      <ns0:c r="G70" s="69">
        <ns0:f>MIN('کوهرت 1392'!E16,'کوهرت 1393'!E16,'کوهرت 1394'!E16,'کوهرت 1397'!E16,'کوهرت 1398'!E16,'کوهرت 1399'!E16,'کوهرت 1400'!E16,'کوهرت 1401'!E16)</ns0:f>
        <ns0:v>0.9984</ns0:v>
      </ns0:c>
      <ns0:c r="H70" s="69">
        <ns0:f>MAX('کوهرت 1392'!E16,'کوهرت 1393'!E16,'کوهرت 1394'!E16,'کوهرت 1397'!E16,'کوهرت 1398'!E16,'کوهرت 1399'!E16,'کوهرت 1400'!E16,'کوهرت 1401'!E16)</ns0:f>
        <ns0:v>1.1814</ns0:v>
      </ns0:c>
      <ns0:c r="I70" s="79">
        <ns0:f>H70-G70</ns0:f>
        <ns0:v>0.18300000000000005</ns0:v>
      </ns0:c>
    </ns0:row>
    <ns0:row r="71" ht="22" customHeight="1">
      <ns0:c r="A71" t="inlineStr">
        <ns0:is>
          <ns0:t>ادویه و چاشنی</ns0:t>
        </ns0:is>
      </ns0:c>
      <ns0:c r="B71" s="68">
        <ns0:f>MIN('کوهرت 1392'!D17,'کوهرت 1393'!D17,'کوهرت 1394'!D17,'کوهرت 1397'!D17,'کوهرت 1398'!D17,'کوهرت 1399'!D17,'کوهرت 1400'!D17,'کوهرت 1401'!D17)</ns0:f>
        <ns0:v>0.7889</ns0:v>
      </ns0:c>
      <ns0:c r="C71" s="68">
        <ns0:f>MAX('کوهرت 1392'!D17,'کوهرت 1393'!D17,'کوهرت 1394'!D17,'کوهرت 1397'!D17,'کوهرت 1398'!D17,'کوهرت 1399'!D17,'کوهرت 1400'!D17,'کوهرت 1401'!D17)</ns0:f>
        <ns0:v>0.8738</ns0:v>
      </ns0:c>
      <ns0:c r="D71" s="79">
        <ns0:f>C71-B71</ns0:f>
        <ns0:v>0.08489999999999998</ns0:v>
      </ns0:c>
      <ns0:c r="F71" t="inlineStr">
        <ns0:is>
          <ns0:t>ادویه و چاشنی</ns0:t>
        </ns0:is>
      </ns0:c>
      <ns0:c r="G71" s="69">
        <ns0:f>MIN('کوهرت 1392'!E17,'کوهرت 1393'!E17,'کوهرت 1394'!E17,'کوهرت 1397'!E17,'کوهرت 1398'!E17,'کوهرت 1399'!E17,'کوهرت 1400'!E17,'کوهرت 1401'!E17)</ns0:f>
        <ns0:v>0.6173</ns0:v>
      </ns0:c>
      <ns0:c r="H71" s="69">
        <ns0:f>MAX('کوهرت 1392'!E17,'کوهرت 1393'!E17,'کوهرت 1394'!E17,'کوهرت 1397'!E17,'کوهرت 1398'!E17,'کوهرت 1399'!E17,'کوهرت 1400'!E17,'کوهرت 1401'!E17)</ns0:f>
        <ns0:v>0.7238</ns0:v>
      </ns0:c>
      <ns0:c r="I71" s="79">
        <ns0:f>H71-G71</ns0:f>
        <ns0:v>0.10650000000000004</ns0:v>
      </ns0:c>
    </ns0:row>
    <ns0:row r="72"/>
    <ns0:row r="73"/>
    <ns0:row r="74"/>
    <ns0:row r="75"/>
    <ns0:row r="76" ht="24" customHeight="1">
      <ns0:c r="A76" s="45" t="inlineStr">
        <ns0:is>
          <ns0:t>منبع داده‌ها: https://github.com/sinaamiri9000-collab/paneldemand/blob/eadde5b/pilot/fixed_parameter_elasticities/report.md</ns0:t>
        </ns0:is>
      </ns0:c>
      <ns0:c r="B76" s="1" t="n"/>
      <ns0:c r="C76" s="1" t="n"/>
      <ns0:c r="D76" s="1" t="n"/>
      <ns0:c r="E76" s="1" t="n"/>
      <ns0:c r="F76" s="1" t="n"/>
      <ns0:c r="G76" s="1" t="n"/>
      <ns0:c r="H76" s="1" t="n"/>
      <ns0:c r="I76" s="1" t="n"/>
    </ns0:row>
    <ns0:row r="78" ht="28" customHeight="1">
      <ns0:c r="A78" s="43" t="inlineStr">
        <ns0:is>
          <ns0:t>دامنهٔ کامل ۱۲×۱۲: کمینه، بیشینه و بیشینه منهای کمینهٔ هر خانه، با استفاده از ماتریس‌های دقیق شیت‌ها</ns0:t>
        </ns0:is>
      </ns0:c>
      <ns0:c r="B78" s="1" t="n"/>
      <ns0:c r="C78" s="1" t="n"/>
      <ns0:c r="D78" s="1" t="n"/>
      <ns0:c r="E78" s="1" t="n"/>
      <ns0:c r="F78" s="1" t="n"/>
      <ns0:c r="G78" s="1" t="n"/>
      <ns0:c r="H78" s="1" t="n"/>
      <ns0:c r="I78" s="1" t="n"/>
      <ns0:c r="J78" s="1" t="n"/>
      <ns0:c r="K78" s="1" t="n"/>
      <ns0:c r="L78" s="1" t="n"/>
      <ns0:c r="M78" s="1" t="n"/>
    </ns0:row>
    <ns0:row r="80" ht="28" customHeight="1">
      <ns0:c r="A80" s="71" t="inlineStr">
        <ns0:is>
          <ns0:t>سالانه • کمینه کشش مارشالی ۱۲×۱۲ | B1</ns0:t>
        </ns0:is>
      </ns0:c>
      <ns0:c r="B80" s="1" t="n"/>
      <ns0:c r="C80" s="1" t="n"/>
      <ns0:c r="D80" s="1" t="n"/>
      <ns0:c r="E80" s="1" t="n"/>
      <ns0:c r="F80" s="1" t="n"/>
      <ns0:c r="G80" s="1" t="n"/>
      <ns0:c r="H80" s="1" t="n"/>
      <ns0:c r="I80" s="1" t="n"/>
      <ns0:c r="J80" s="1" t="n"/>
      <ns0:c r="K80" s="1" t="n"/>
      <ns0:c r="L80" s="1" t="n"/>
      <ns0:c r="M80" s="1" t="n"/>
    </ns0:row>
    <ns0:row r="81" ht="58" customHeight="1">
      <ns0:c r="A81" s="72" t="inlineStr">
        <ns0:is>
          <ns0:t>گروه تقاضا ↓ / گروه قیمت →</ns0:t>
        </ns0:is>
      </ns0:c>
      <ns0:c r="B81" s="72" t="inlineStr">
        <ns0:is>
          <ns0:t>برنج</ns0:t>
        </ns0:is>
      </ns0:c>
      <ns0:c r="C81" s="72" t="inlineStr">
        <ns0:is>
          <ns0:t>نان و غلات</ns0:t>
        </ns0:is>
      </ns0:c>
      <ns0:c r="D81" s="72" t="inlineStr">
        <ns0:is>
          <ns0:t>گوشت</ns0:t>
        </ns0:is>
      </ns0:c>
      <ns0:c r="E81" s="72" t="inlineStr">
        <ns0:is>
          <ns0:t>لبنیات و تخم‌مرغ</ns0:t>
        </ns0:is>
      </ns0:c>
      <ns0:c r="F81" s="72" t="inlineStr">
        <ns0:is>
          <ns0:t>روغن و چربی</ns0:t>
        </ns0:is>
      </ns0:c>
      <ns0:c r="G81" s="72" t="inlineStr">
        <ns0:is>
          <ns0:t>میوه</ns0:t>
        </ns0:is>
      </ns0:c>
      <ns0:c r="H81" s="72" t="inlineStr">
        <ns0:is>
          <ns0:t>سبزیجات و سیب‌زمینی</ns0:t>
        </ns0:is>
      </ns0:c>
      <ns0:c r="I81" s="72" t="inlineStr">
        <ns0:is>
          <ns0:t>حبوبات</ns0:t>
        </ns0:is>
      </ns0:c>
      <ns0:c r="J81" s="72" t="inlineStr">
        <ns0:is>
          <ns0:t>مغزها، خشکبار و خرما</ns0:t>
        </ns0:is>
      </ns0:c>
      <ns0:c r="K81" s="72" t="inlineStr">
        <ns0:is>
          <ns0:t>قند، شیرینی و تنقلات</ns0:t>
        </ns0:is>
      </ns0:c>
      <ns0:c r="L81" s="72" t="inlineStr">
        <ns0:is>
          <ns0:t>نوشیدنی بدون نوشابه</ns0:t>
        </ns0:is>
      </ns0:c>
      <ns0:c r="M81" s="72" t="inlineStr">
        <ns0:is>
          <ns0:t>ادویه و چاشنی</ns0:t>
        </ns0:is>
      </ns0:c>
    </ns0:row>
    <ns0:row r="82" ht="30" customHeight="1">
      <ns0:c r="A82" s="73" t="inlineStr">
        <ns0:is>
          <ns0:t>برنج</ns0:t>
        </ns0:is>
      </ns0:c>
      <ns0:c r="B82" s="74">
        <ns0:f>MIN('سال 1392'!B26,'سال 1393'!B26,'سال 1394'!B26,'سال 1395'!B26,'سال 1396'!B26,'سال 1397'!B26,'سال 1398'!B26,'سال 1399'!B26,'سال 1400'!B26,'سال 1401'!B26,'سال 1402'!B26,'سال 1403'!B26)</ns0:f>
        <ns0:v>-1.0822329818912315</ns0:v>
      </ns0:c>
      <ns0:c r="C82" s="75">
        <ns0:f>MIN('سال 1392'!C26,'سال 1393'!C26,'سال 1394'!C26,'سال 1395'!C26,'سال 1396'!C26,'سال 1397'!C26,'سال 1398'!C26,'سال 1399'!C26,'سال 1400'!C26,'سال 1401'!C26,'سال 1402'!C26,'سال 1403'!C26)</ns0:f>
        <ns0:v>-0.010291116760546486</ns0:v>
      </ns0:c>
      <ns0:c r="D82" s="75">
        <ns0:f>MIN('سال 1392'!D26,'سال 1393'!D26,'سال 1394'!D26,'سال 1395'!D26,'سال 1396'!D26,'سال 1397'!D26,'سال 1398'!D26,'سال 1399'!D26,'سال 1400'!D26,'سال 1401'!D26,'سال 1402'!D26,'سال 1403'!D26)</ns0:f>
        <ns0:v>-0.12062771728280262</ns0:v>
      </ns0:c>
      <ns0:c r="E82" s="75">
        <ns0:f>MIN('سال 1392'!E26,'سال 1393'!E26,'سال 1394'!E26,'سال 1395'!E26,'سال 1396'!E26,'سال 1397'!E26,'سال 1398'!E26,'سال 1399'!E26,'سال 1400'!E26,'سال 1401'!E26,'سال 1402'!E26,'سال 1403'!E26)</ns0:f>
        <ns0:v>0.01634108983106885</ns0:v>
      </ns0:c>
      <ns0:c r="F82" s="75">
        <ns0:f>MIN('سال 1392'!F26,'سال 1393'!F26,'سال 1394'!F26,'سال 1395'!F26,'سال 1396'!F26,'سال 1397'!F26,'سال 1398'!F26,'سال 1399'!F26,'سال 1400'!F26,'سال 1401'!F26,'سال 1402'!F26,'سال 1403'!F26)</ns0:f>
        <ns0:v>-0.05049674727901463</ns0:v>
      </ns0:c>
      <ns0:c r="G82" s="75">
        <ns0:f>MIN('سال 1392'!G26,'سال 1393'!G26,'سال 1394'!G26,'سال 1395'!G26,'سال 1396'!G26,'سال 1397'!G26,'سال 1398'!G26,'سال 1399'!G26,'سال 1400'!G26,'سال 1401'!G26,'سال 1402'!G26,'سال 1403'!G26)</ns0:f>
        <ns0:v>-0.0839540147162314</ns0:v>
      </ns0:c>
      <ns0:c r="H82" s="75">
        <ns0:f>MIN('سال 1392'!H26,'سال 1393'!H26,'سال 1394'!H26,'سال 1395'!H26,'سال 1396'!H26,'سال 1397'!H26,'سال 1398'!H26,'سال 1399'!H26,'سال 1400'!H26,'سال 1401'!H26,'سال 1402'!H26,'سال 1403'!H26)</ns0:f>
        <ns0:v>-0.09954791752922856</ns0:v>
      </ns0:c>
      <ns0:c r="I82" s="75">
        <ns0:f>MIN('سال 1392'!I26,'سال 1393'!I26,'سال 1394'!I26,'سال 1395'!I26,'سال 1396'!I26,'سال 1397'!I26,'سال 1398'!I26,'سال 1399'!I26,'سال 1400'!I26,'سال 1401'!I26,'سال 1402'!I26,'سال 1403'!I26)</ns0:f>
        <ns0:v>-0.03943570147562025</ns0:v>
      </ns0:c>
      <ns0:c r="J82" s="75">
        <ns0:f>MIN('سال 1392'!J26,'سال 1393'!J26,'سال 1394'!J26,'سال 1395'!J26,'سال 1396'!J26,'سال 1397'!J26,'سال 1398'!J26,'سال 1399'!J26,'سال 1400'!J26,'سال 1401'!J26,'سال 1402'!J26,'سال 1403'!J26)</ns0:f>
        <ns0:v>-0.019416961471298375</ns0:v>
      </ns0:c>
      <ns0:c r="K82" s="75">
        <ns0:f>MIN('سال 1392'!K26,'سال 1393'!K26,'سال 1394'!K26,'سال 1395'!K26,'سال 1396'!K26,'سال 1397'!K26,'سال 1398'!K26,'سال 1399'!K26,'سال 1400'!K26,'سال 1401'!K26,'سال 1402'!K26,'سال 1403'!K26)</ns0:f>
        <ns0:v>-0.0947375998649294</ns0:v>
      </ns0:c>
      <ns0:c r="L82" s="75">
        <ns0:f>MIN('سال 1392'!L26,'سال 1393'!L26,'سال 1394'!L26,'سال 1395'!L26,'سال 1396'!L26,'سال 1397'!L26,'سال 1398'!L26,'سال 1399'!L26,'سال 1400'!L26,'سال 1401'!L26,'سال 1402'!L26,'سال 1403'!L26)</ns0:f>
        <ns0:v>-0.12682078788226947</ns0:v>
      </ns0:c>
      <ns0:c r="M82" s="75">
        <ns0:f>MIN('سال 1392'!M26,'سال 1393'!M26,'سال 1394'!M26,'سال 1395'!M26,'سال 1396'!M26,'سال 1397'!M26,'سال 1398'!M26,'سال 1399'!M26,'سال 1400'!M26,'سال 1401'!M26,'سال 1402'!M26,'سال 1403'!M26)</ns0:f>
        <ns0:v>0.042827693152901414</ns0:v>
      </ns0:c>
    </ns0:row>
    <ns0:row r="83" ht="30" customHeight="1">
      <ns0:c r="A83" s="73" t="inlineStr">
        <ns0:is>
          <ns0:t>نان و غلات</ns0:t>
        </ns0:is>
      </ns0:c>
      <ns0:c r="B83" s="75">
        <ns0:f>MIN('سال 1392'!B27,'سال 1393'!B27,'سال 1394'!B27,'سال 1395'!B27,'سال 1396'!B27,'سال 1397'!B27,'سال 1398'!B27,'سال 1399'!B27,'سال 1400'!B27,'سال 1401'!B27,'سال 1402'!B27,'سال 1403'!B27)</ns0:f>
        <ns0:v>0.0945447372358148</ns0:v>
      </ns0:c>
      <ns0:c r="C83" s="74">
        <ns0:f>MIN('سال 1392'!C27,'سال 1393'!C27,'سال 1394'!C27,'سال 1395'!C27,'سال 1396'!C27,'سال 1397'!C27,'سال 1398'!C27,'سال 1399'!C27,'سال 1400'!C27,'سال 1401'!C27,'سال 1402'!C27,'سال 1403'!C27)</ns0:f>
        <ns0:v>-0.7458805016976078</ns0:v>
      </ns0:c>
      <ns0:c r="D83" s="75">
        <ns0:f>MIN('سال 1392'!D27,'سال 1393'!D27,'سال 1394'!D27,'سال 1395'!D27,'سال 1396'!D27,'سال 1397'!D27,'سال 1398'!D27,'سال 1399'!D27,'سال 1400'!D27,'سال 1401'!D27,'سال 1402'!D27,'سال 1403'!D27)</ns0:f>
        <ns0:v>0.14688902282510596</ns0:v>
      </ns0:c>
      <ns0:c r="E83" s="75">
        <ns0:f>MIN('سال 1392'!E27,'سال 1393'!E27,'سال 1394'!E27,'سال 1395'!E27,'سال 1396'!E27,'سال 1397'!E27,'سال 1398'!E27,'سال 1399'!E27,'سال 1400'!E27,'سال 1401'!E27,'سال 1402'!E27,'سال 1403'!E27)</ns0:f>
        <ns0:v>-0.21705556380066265</ns0:v>
      </ns0:c>
      <ns0:c r="F83" s="75">
        <ns0:f>MIN('سال 1392'!F27,'سال 1393'!F27,'سال 1394'!F27,'سال 1395'!F27,'سال 1396'!F27,'سال 1397'!F27,'سال 1398'!F27,'سال 1399'!F27,'سال 1400'!F27,'سال 1401'!F27,'سال 1402'!F27,'سال 1403'!F27)</ns0:f>
        <ns0:v>-0.006003424369209662</ns0:v>
      </ns0:c>
      <ns0:c r="G83" s="75">
        <ns0:f>MIN('سال 1392'!G27,'سال 1393'!G27,'سال 1394'!G27,'سال 1395'!G27,'سال 1396'!G27,'سال 1397'!G27,'سال 1398'!G27,'سال 1399'!G27,'سال 1400'!G27,'سال 1401'!G27,'سال 1402'!G27,'سال 1403'!G27)</ns0:f>
        <ns0:v>0.019246725084611123</ns0:v>
      </ns0:c>
      <ns0:c r="H83" s="75">
        <ns0:f>MIN('سال 1392'!H27,'سال 1393'!H27,'سال 1394'!H27,'سال 1395'!H27,'سال 1396'!H27,'سال 1397'!H27,'سال 1398'!H27,'سال 1399'!H27,'سال 1400'!H27,'سال 1401'!H27,'سال 1402'!H27,'سال 1403'!H27)</ns0:f>
        <ns0:v>-0.1317290344953391</ns0:v>
      </ns0:c>
      <ns0:c r="I83" s="75">
        <ns0:f>MIN('سال 1392'!I27,'سال 1393'!I27,'سال 1394'!I27,'سال 1395'!I27,'سال 1396'!I27,'سال 1397'!I27,'سال 1398'!I27,'سال 1399'!I27,'سال 1400'!I27,'سال 1401'!I27,'سال 1402'!I27,'سال 1403'!I27)</ns0:f>
        <ns0:v>0.021625333399883123</ns0:v>
      </ns0:c>
      <ns0:c r="J83" s="75">
        <ns0:f>MIN('سال 1392'!J27,'سال 1393'!J27,'سال 1394'!J27,'سال 1395'!J27,'سال 1396'!J27,'سال 1397'!J27,'سال 1398'!J27,'سال 1399'!J27,'سال 1400'!J27,'سال 1401'!J27,'سال 1402'!J27,'سال 1403'!J27)</ns0:f>
        <ns0:v>0.021924212560292353</ns0:v>
      </ns0:c>
      <ns0:c r="K83" s="75">
        <ns0:f>MIN('سال 1392'!K27,'سال 1393'!K27,'سال 1394'!K27,'سال 1395'!K27,'سال 1396'!K27,'سال 1397'!K27,'سال 1398'!K27,'سال 1399'!K27,'سال 1400'!K27,'سال 1401'!K27,'سال 1402'!K27,'سال 1403'!K27)</ns0:f>
        <ns0:v>-0.012020880551464193</ns0:v>
      </ns0:c>
      <ns0:c r="L83" s="75">
        <ns0:f>MIN('سال 1392'!L27,'سال 1393'!L27,'سال 1394'!L27,'سال 1395'!L27,'سال 1396'!L27,'سال 1397'!L27,'سال 1398'!L27,'سال 1399'!L27,'سال 1400'!L27,'سال 1401'!L27,'سال 1402'!L27,'سال 1403'!L27)</ns0:f>
        <ns0:v>0.060745321484661656</ns0:v>
      </ns0:c>
      <ns0:c r="M83" s="75">
        <ns0:f>MIN('سال 1392'!M27,'سال 1393'!M27,'سال 1394'!M27,'سال 1395'!M27,'سال 1396'!M27,'سال 1397'!M27,'سال 1398'!M27,'سال 1399'!M27,'سال 1400'!M27,'سال 1401'!M27,'سال 1402'!M27,'سال 1403'!M27)</ns0:f>
        <ns0:v>-0.07402399363269059</ns0:v>
      </ns0:c>
    </ns0:row>
    <ns0:row r="84" ht="30" customHeight="1">
      <ns0:c r="A84" s="73" t="inlineStr">
        <ns0:is>
          <ns0:t>گوشت</ns0:t>
        </ns0:is>
      </ns0:c>
      <ns0:c r="B84" s="75">
        <ns0:f>MIN('سال 1392'!B28,'سال 1393'!B28,'سال 1394'!B28,'سال 1395'!B28,'سال 1396'!B28,'سال 1397'!B28,'سال 1398'!B28,'سال 1399'!B28,'سال 1400'!B28,'سال 1401'!B28,'سال 1402'!B28,'سال 1403'!B28)</ns0:f>
        <ns0:v>0.00042662414416091537</ns0:v>
      </ns0:c>
      <ns0:c r="C84" s="75">
        <ns0:f>MIN('سال 1392'!C28,'سال 1393'!C28,'سال 1394'!C28,'سال 1395'!C28,'سال 1396'!C28,'سال 1397'!C28,'سال 1398'!C28,'سال 1399'!C28,'سال 1400'!C28,'سال 1401'!C28,'سال 1402'!C28,'سال 1403'!C28)</ns0:f>
        <ns0:v>0.018339184418018073</ns0:v>
      </ns0:c>
      <ns0:c r="D84" s="74">
        <ns0:f>MIN('سال 1392'!D28,'سال 1393'!D28,'سال 1394'!D28,'سال 1395'!D28,'سال 1396'!D28,'سال 1397'!D28,'سال 1398'!D28,'سال 1399'!D28,'سال 1400'!D28,'سال 1401'!D28,'سال 1402'!D28,'سال 1403'!D28)</ns0:f>
        <ns0:v>-0.94614274071631</ns0:v>
      </ns0:c>
      <ns0:c r="E84" s="75">
        <ns0:f>MIN('سال 1392'!E28,'سال 1393'!E28,'سال 1394'!E28,'سال 1395'!E28,'سال 1396'!E28,'سال 1397'!E28,'سال 1398'!E28,'سال 1399'!E28,'سال 1400'!E28,'سال 1401'!E28,'سال 1402'!E28,'سال 1403'!E28)</ns0:f>
        <ns0:v>-0.022104169856659653</ns0:v>
      </ns0:c>
      <ns0:c r="F84" s="75">
        <ns0:f>MIN('سال 1392'!F28,'سال 1393'!F28,'سال 1394'!F28,'سال 1395'!F28,'سال 1396'!F28,'سال 1397'!F28,'سال 1398'!F28,'سال 1399'!F28,'سال 1400'!F28,'سال 1401'!F28,'سال 1402'!F28,'سال 1403'!F28)</ns0:f>
        <ns0:v>-0.09304895776334608</ns0:v>
      </ns0:c>
      <ns0:c r="G84" s="75">
        <ns0:f>MIN('سال 1392'!G28,'سال 1393'!G28,'سال 1394'!G28,'سال 1395'!G28,'سال 1396'!G28,'سال 1397'!G28,'سال 1398'!G28,'سال 1399'!G28,'سال 1400'!G28,'سال 1401'!G28,'سال 1402'!G28,'سال 1403'!G28)</ns0:f>
        <ns0:v>-0.006488701733979635</ns0:v>
      </ns0:c>
      <ns0:c r="H84" s="75">
        <ns0:f>MIN('سال 1392'!H28,'سال 1393'!H28,'سال 1394'!H28,'سال 1395'!H28,'سال 1396'!H28,'سال 1397'!H28,'سال 1398'!H28,'سال 1399'!H28,'سال 1400'!H28,'سال 1401'!H28,'سال 1402'!H28,'سال 1403'!H28)</ns0:f>
        <ns0:v>-0.0981401794169374</ns0:v>
      </ns0:c>
      <ns0:c r="I84" s="75">
        <ns0:f>MIN('سال 1392'!I28,'سال 1393'!I28,'سال 1394'!I28,'سال 1395'!I28,'سال 1396'!I28,'سال 1397'!I28,'سال 1398'!I28,'سال 1399'!I28,'سال 1400'!I28,'سال 1401'!I28,'سال 1402'!I28,'سال 1403'!I28)</ns0:f>
        <ns0:v>-0.022081955386668402</ns0:v>
      </ns0:c>
      <ns0:c r="J84" s="75">
        <ns0:f>MIN('سال 1392'!J28,'سال 1393'!J28,'سال 1394'!J28,'سال 1395'!J28,'سال 1396'!J28,'سال 1397'!J28,'سال 1398'!J28,'سال 1399'!J28,'سال 1400'!J28,'سال 1401'!J28,'سال 1402'!J28,'سال 1403'!J28)</ns0:f>
        <ns0:v>-0.04361167777147712</ns0:v>
      </ns0:c>
      <ns0:c r="K84" s="75">
        <ns0:f>MIN('سال 1392'!K28,'سال 1393'!K28,'سال 1394'!K28,'سال 1395'!K28,'سال 1396'!K28,'سال 1397'!K28,'سال 1398'!K28,'سال 1399'!K28,'سال 1400'!K28,'سال 1401'!K28,'سال 1402'!K28,'سال 1403'!K28)</ns0:f>
        <ns0:v>5.6038067492040644e-05</ns0:v>
      </ns0:c>
      <ns0:c r="L84" s="75">
        <ns0:f>MIN('سال 1392'!L28,'سال 1393'!L28,'سال 1394'!L28,'سال 1395'!L28,'سال 1396'!L28,'سال 1397'!L28,'سال 1398'!L28,'سال 1399'!L28,'سال 1400'!L28,'سال 1401'!L28,'سال 1402'!L28,'سال 1403'!L28)</ns0:f>
        <ns0:v>-0.04938065407340873</ns0:v>
      </ns0:c>
      <ns0:c r="M84" s="75">
        <ns0:f>MIN('سال 1392'!M28,'سال 1393'!M28,'سال 1394'!M28,'سال 1395'!M28,'سال 1396'!M28,'سال 1397'!M28,'سال 1398'!M28,'سال 1399'!M28,'سال 1400'!M28,'سال 1401'!M28,'سال 1402'!M28,'سال 1403'!M28)</ns0:f>
        <ns0:v>-0.04826670993511173</ns0:v>
      </ns0:c>
    </ns0:row>
    <ns0:row r="85" ht="30" customHeight="1">
      <ns0:c r="A85" s="73" t="inlineStr">
        <ns0:is>
          <ns0:t>لبنیات و تخم‌مرغ</ns0:t>
        </ns0:is>
      </ns0:c>
      <ns0:c r="B85" s="75">
        <ns0:f>MIN('سال 1392'!B29,'سال 1393'!B29,'سال 1394'!B29,'سال 1395'!B29,'سال 1396'!B29,'سال 1397'!B29,'سال 1398'!B29,'سال 1399'!B29,'سال 1400'!B29,'سال 1401'!B29,'سال 1402'!B29,'سال 1403'!B29)</ns0:f>
        <ns0:v>0.09052040674976486</ns0:v>
      </ns0:c>
      <ns0:c r="C85" s="75">
        <ns0:f>MIN('سال 1392'!C29,'سال 1393'!C29,'سال 1394'!C29,'سال 1395'!C29,'سال 1396'!C29,'سال 1397'!C29,'سال 1398'!C29,'سال 1399'!C29,'سال 1400'!C29,'سال 1401'!C29,'سال 1402'!C29,'سال 1403'!C29)</ns0:f>
        <ns0:v>-0.19656568674210337</ns0:v>
      </ns0:c>
      <ns0:c r="D85" s="75">
        <ns0:f>MIN('سال 1392'!D29,'سال 1393'!D29,'سال 1394'!D29,'سال 1395'!D29,'سال 1396'!D29,'سال 1397'!D29,'سال 1398'!D29,'سال 1399'!D29,'سال 1400'!D29,'سال 1401'!D29,'سال 1402'!D29,'سال 1403'!D29)</ns0:f>
        <ns0:v>0.05144397890303491</ns0:v>
      </ns0:c>
      <ns0:c r="E85" s="74">
        <ns0:f>MIN('سال 1392'!E29,'سال 1393'!E29,'سال 1394'!E29,'سال 1395'!E29,'سال 1396'!E29,'سال 1397'!E29,'سال 1398'!E29,'سال 1399'!E29,'سال 1400'!E29,'سال 1401'!E29,'سال 1402'!E29,'سال 1403'!E29)</ns0:f>
        <ns0:v>-0.82641780494242</ns0:v>
      </ns0:c>
      <ns0:c r="F85" s="75">
        <ns0:f>MIN('سال 1392'!F29,'سال 1393'!F29,'سال 1394'!F29,'سال 1395'!F29,'سال 1396'!F29,'سال 1397'!F29,'سال 1398'!F29,'سال 1399'!F29,'سال 1400'!F29,'سال 1401'!F29,'سال 1402'!F29,'سال 1403'!F29)</ns0:f>
        <ns0:v>0.0007045272339862551</ns0:v>
      </ns0:c>
      <ns0:c r="G85" s="75">
        <ns0:f>MIN('سال 1392'!G29,'سال 1393'!G29,'سال 1394'!G29,'سال 1395'!G29,'سال 1396'!G29,'سال 1397'!G29,'سال 1398'!G29,'سال 1399'!G29,'سال 1400'!G29,'سال 1401'!G29,'سال 1402'!G29,'سال 1403'!G29)</ns0:f>
        <ns0:v>0.02905549353300666</ns0:v>
      </ns0:c>
      <ns0:c r="H85" s="75">
        <ns0:f>MIN('سال 1392'!H29,'سال 1393'!H29,'سال 1394'!H29,'سال 1395'!H29,'سال 1396'!H29,'سال 1397'!H29,'سال 1398'!H29,'سال 1399'!H29,'سال 1400'!H29,'سال 1401'!H29,'سال 1402'!H29,'سال 1403'!H29)</ns0:f>
        <ns0:v>-0.16607773445698404</ns0:v>
      </ns0:c>
      <ns0:c r="I85" s="75">
        <ns0:f>MIN('سال 1392'!I29,'سال 1393'!I29,'سال 1394'!I29,'سال 1395'!I29,'سال 1396'!I29,'سال 1397'!I29,'سال 1398'!I29,'سال 1399'!I29,'سال 1400'!I29,'سال 1401'!I29,'سال 1402'!I29,'سال 1403'!I29)</ns0:f>
        <ns0:v>0.0379358369959548</ns0:v>
      </ns0:c>
      <ns0:c r="J85" s="75">
        <ns0:f>MIN('سال 1392'!J29,'سال 1393'!J29,'سال 1394'!J29,'سال 1395'!J29,'سال 1396'!J29,'سال 1397'!J29,'سال 1398'!J29,'سال 1399'!J29,'سال 1400'!J29,'سال 1401'!J29,'سال 1402'!J29,'سال 1403'!J29)</ns0:f>
        <ns0:v>0.07470122018477111</ns0:v>
      </ns0:c>
      <ns0:c r="K85" s="75">
        <ns0:f>MIN('سال 1392'!K29,'سال 1393'!K29,'سال 1394'!K29,'سال 1395'!K29,'سال 1396'!K29,'سال 1397'!K29,'سال 1398'!K29,'سال 1399'!K29,'سال 1400'!K29,'سال 1401'!K29,'سال 1402'!K29,'سال 1403'!K29)</ns0:f>
        <ns0:v>-0.050100495835482664</ns0:v>
      </ns0:c>
      <ns0:c r="L85" s="75">
        <ns0:f>MIN('سال 1392'!L29,'سال 1393'!L29,'سال 1394'!L29,'سال 1395'!L29,'سال 1396'!L29,'سال 1397'!L29,'سال 1398'!L29,'سال 1399'!L29,'سال 1400'!L29,'سال 1401'!L29,'سال 1402'!L29,'سال 1403'!L29)</ns0:f>
        <ns0:v>0.09366484855365355</ns0:v>
      </ns0:c>
      <ns0:c r="M85" s="75">
        <ns0:f>MIN('سال 1392'!M29,'سال 1393'!M29,'سال 1394'!M29,'سال 1395'!M29,'سال 1396'!M29,'سال 1397'!M29,'سال 1398'!M29,'سال 1399'!M29,'سال 1400'!M29,'سال 1401'!M29,'سال 1402'!M29,'سال 1403'!M29)</ns0:f>
        <ns0:v>-0.12856530705735267</ns0:v>
      </ns0:c>
    </ns0:row>
    <ns0:row r="86" ht="30" customHeight="1">
      <ns0:c r="A86" s="73" t="inlineStr">
        <ns0:is>
          <ns0:t>روغن و چربی</ns0:t>
        </ns0:is>
      </ns0:c>
      <ns0:c r="B86" s="75">
        <ns0:f>MIN('سال 1392'!B30,'سال 1393'!B30,'سال 1394'!B30,'سال 1395'!B30,'سال 1396'!B30,'سال 1397'!B30,'سال 1398'!B30,'سال 1399'!B30,'سال 1400'!B30,'سال 1401'!B30,'سال 1402'!B30,'سال 1403'!B30)</ns0:f>
        <ns0:v>0.0006255935807189483</ns0:v>
      </ns0:c>
      <ns0:c r="C86" s="75">
        <ns0:f>MIN('سال 1392'!C30,'سال 1393'!C30,'سال 1394'!C30,'سال 1395'!C30,'سال 1396'!C30,'سال 1397'!C30,'سال 1398'!C30,'سال 1399'!C30,'سال 1400'!C30,'سال 1401'!C30,'سال 1402'!C30,'سال 1403'!C30)</ns0:f>
        <ns0:v>-0.05436484152740453</ns0:v>
      </ns0:c>
      <ns0:c r="D86" s="75">
        <ns0:f>MIN('سال 1392'!D30,'سال 1393'!D30,'سال 1394'!D30,'سال 1395'!D30,'سال 1396'!D30,'سال 1397'!D30,'سال 1398'!D30,'سال 1399'!D30,'سال 1400'!D30,'سال 1401'!D30,'سال 1402'!D30,'سال 1403'!D30)</ns0:f>
        <ns0:v>-0.19637587565769796</ns0:v>
      </ns0:c>
      <ns0:c r="E86" s="75">
        <ns0:f>MIN('سال 1392'!E30,'سال 1393'!E30,'سال 1394'!E30,'سال 1395'!E30,'سال 1396'!E30,'سال 1397'!E30,'سال 1398'!E30,'سال 1399'!E30,'سال 1400'!E30,'سال 1401'!E30,'سال 1402'!E30,'سال 1403'!E30)</ns0:f>
        <ns0:v>0.11623893926381539</ns0:v>
      </ns0:c>
      <ns0:c r="F86" s="74">
        <ns0:f>MIN('سال 1392'!F30,'سال 1393'!F30,'سال 1394'!F30,'سال 1395'!F30,'سال 1396'!F30,'سال 1397'!F30,'سال 1398'!F30,'سال 1399'!F30,'سال 1400'!F30,'سال 1401'!F30,'سال 1402'!F30,'سال 1403'!F30)</ns0:f>
        <ns0:v>-0.6102191322500397</ns0:v>
      </ns0:c>
      <ns0:c r="G86" s="75">
        <ns0:f>MIN('سال 1392'!G30,'سال 1393'!G30,'سال 1394'!G30,'سال 1395'!G30,'سال 1396'!G30,'سال 1397'!G30,'سال 1398'!G30,'سال 1399'!G30,'سال 1400'!G30,'سال 1401'!G30,'سال 1402'!G30,'سال 1403'!G30)</ns0:f>
        <ns0:v>-0.04285480217357334</ns0:v>
      </ns0:c>
      <ns0:c r="H86" s="75">
        <ns0:f>MIN('سال 1392'!H30,'سال 1393'!H30,'سال 1394'!H30,'سال 1395'!H30,'سال 1396'!H30,'سال 1397'!H30,'سال 1398'!H30,'سال 1399'!H30,'سال 1400'!H30,'سال 1401'!H30,'سال 1402'!H30,'سال 1403'!H30)</ns0:f>
        <ns0:v>-0.08281694105763908</ns0:v>
      </ns0:c>
      <ns0:c r="I86" s="75">
        <ns0:f>MIN('سال 1392'!I30,'سال 1393'!I30,'سال 1394'!I30,'سال 1395'!I30,'سال 1396'!I30,'سال 1397'!I30,'سال 1398'!I30,'سال 1399'!I30,'سال 1400'!I30,'سال 1401'!I30,'سال 1402'!I30,'سال 1403'!I30)</ns0:f>
        <ns0:v>-0.11084337232972581</ns0:v>
      </ns0:c>
      <ns0:c r="J86" s="75">
        <ns0:f>MIN('سال 1392'!J30,'سال 1393'!J30,'سال 1394'!J30,'سال 1395'!J30,'سال 1396'!J30,'سال 1397'!J30,'سال 1398'!J30,'سال 1399'!J30,'سال 1400'!J30,'سال 1401'!J30,'سال 1402'!J30,'سال 1403'!J30)</ns0:f>
        <ns0:v>0.04644304744974242</ns0:v>
      </ns0:c>
      <ns0:c r="K86" s="75">
        <ns0:f>MIN('سال 1392'!K30,'سال 1393'!K30,'سال 1394'!K30,'سال 1395'!K30,'سال 1396'!K30,'سال 1397'!K30,'سال 1398'!K30,'سال 1399'!K30,'سال 1400'!K30,'سال 1401'!K30,'سال 1402'!K30,'سال 1403'!K30)</ns0:f>
        <ns0:v>-0.015388721603724509</ns0:v>
      </ns0:c>
      <ns0:c r="L86" s="75">
        <ns0:f>MIN('سال 1392'!L30,'سال 1393'!L30,'سال 1394'!L30,'سال 1395'!L30,'سال 1396'!L30,'سال 1397'!L30,'سال 1398'!L30,'سال 1399'!L30,'سال 1400'!L30,'سال 1401'!L30,'سال 1402'!L30,'سال 1403'!L30)</ns0:f>
        <ns0:v>-0.0854431544421416</ns0:v>
      </ns0:c>
      <ns0:c r="M86" s="75">
        <ns0:f>MIN('سال 1392'!M30,'سال 1393'!M30,'سال 1394'!M30,'سال 1395'!M30,'سال 1396'!M30,'سال 1397'!M30,'سال 1398'!M30,'سال 1399'!M30,'سال 1400'!M30,'سال 1401'!M30,'سال 1402'!M30,'سال 1403'!M30)</ns0:f>
        <ns0:v>-0.009784379598000782</ns0:v>
      </ns0:c>
    </ns0:row>
    <ns0:row r="87" ht="30" customHeight="1">
      <ns0:c r="A87" s="73" t="inlineStr">
        <ns0:is>
          <ns0:t>میوه</ns0:t>
        </ns0:is>
      </ns0:c>
      <ns0:c r="B87" s="75">
        <ns0:f>MIN('سال 1392'!B31,'سال 1393'!B31,'سال 1394'!B31,'سال 1395'!B31,'سال 1396'!B31,'سال 1397'!B31,'سال 1398'!B31,'سال 1399'!B31,'سال 1400'!B31,'سال 1401'!B31,'سال 1402'!B31,'سال 1403'!B31)</ns0:f>
        <ns0:v>-0.16881149469253182</ns0:v>
      </ns0:c>
      <ns0:c r="C87" s="75">
        <ns0:f>MIN('سال 1392'!C31,'سال 1393'!C31,'سال 1394'!C31,'سال 1395'!C31,'سال 1396'!C31,'سال 1397'!C31,'سال 1398'!C31,'سال 1399'!C31,'سال 1400'!C31,'سال 1401'!C31,'سال 1402'!C31,'سال 1403'!C31)</ns0:f>
        <ns0:v>-0.011485900085602707</ns0:v>
      </ns0:c>
      <ns0:c r="D87" s="75">
        <ns0:f>MIN('سال 1392'!D31,'سال 1393'!D31,'سال 1394'!D31,'سال 1395'!D31,'سال 1396'!D31,'سال 1397'!D31,'سال 1398'!D31,'سال 1399'!D31,'سال 1400'!D31,'سال 1401'!D31,'سال 1402'!D31,'سال 1403'!D31)</ns0:f>
        <ns0:v>-0.023959051658245675</ns0:v>
      </ns0:c>
      <ns0:c r="E87" s="75">
        <ns0:f>MIN('سال 1392'!E31,'سال 1393'!E31,'سال 1394'!E31,'سال 1395'!E31,'سال 1396'!E31,'سال 1397'!E31,'سال 1398'!E31,'سال 1399'!E31,'سال 1400'!E31,'سال 1401'!E31,'سال 1402'!E31,'سال 1403'!E31)</ns0:f>
        <ns0:v>0.04149351408009334</ns0:v>
      </ns0:c>
      <ns0:c r="F87" s="75">
        <ns0:f>MIN('سال 1392'!F31,'سال 1393'!F31,'سال 1394'!F31,'سال 1395'!F31,'سال 1396'!F31,'سال 1397'!F31,'سال 1398'!F31,'سال 1399'!F31,'سال 1400'!F31,'سال 1401'!F31,'سال 1402'!F31,'سال 1403'!F31)</ns0:f>
        <ns0:v>-0.10077256278566134</ns0:v>
      </ns0:c>
      <ns0:c r="G87" s="74">
        <ns0:f>MIN('سال 1392'!G31,'سال 1393'!G31,'سال 1394'!G31,'سال 1395'!G31,'سال 1396'!G31,'سال 1397'!G31,'سال 1398'!G31,'سال 1399'!G31,'سال 1400'!G31,'سال 1401'!G31,'سال 1402'!G31,'سال 1403'!G31)</ns0:f>
        <ns0:v>-1.1067517262000472</ns0:v>
      </ns0:c>
      <ns0:c r="H87" s="75">
        <ns0:f>MIN('سال 1392'!H31,'سال 1393'!H31,'سال 1394'!H31,'سال 1395'!H31,'سال 1396'!H31,'سال 1397'!H31,'سال 1398'!H31,'سال 1399'!H31,'سال 1400'!H31,'سال 1401'!H31,'سال 1402'!H31,'سال 1403'!H31)</ns0:f>
        <ns0:v>0.11373279541892523</ns0:v>
      </ns0:c>
      <ns0:c r="I87" s="75">
        <ns0:f>MIN('سال 1392'!I31,'سال 1393'!I31,'سال 1394'!I31,'سال 1395'!I31,'سال 1396'!I31,'سال 1397'!I31,'سال 1398'!I31,'سال 1399'!I31,'سال 1400'!I31,'سال 1401'!I31,'سال 1402'!I31,'سال 1403'!I31)</ns0:f>
        <ns0:v>-0.059665821752205916</ns0:v>
      </ns0:c>
      <ns0:c r="J87" s="75">
        <ns0:f>MIN('سال 1392'!J31,'سال 1393'!J31,'سال 1394'!J31,'سال 1395'!J31,'سال 1396'!J31,'سال 1397'!J31,'سال 1398'!J31,'سال 1399'!J31,'سال 1400'!J31,'سال 1401'!J31,'سال 1402'!J31,'سال 1403'!J31)</ns0:f>
        <ns0:v>-0.20586663225626076</ns0:v>
      </ns0:c>
      <ns0:c r="K87" s="75">
        <ns0:f>MIN('سال 1392'!K31,'سال 1393'!K31,'سال 1394'!K31,'سال 1395'!K31,'سال 1396'!K31,'سال 1397'!K31,'سال 1398'!K31,'سال 1399'!K31,'سال 1400'!K31,'سال 1401'!K31,'سال 1402'!K31,'سال 1403'!K31)</ns0:f>
        <ns0:v>0.0409736766142686</ns0:v>
      </ns0:c>
      <ns0:c r="L87" s="75">
        <ns0:f>MIN('سال 1392'!L31,'سال 1393'!L31,'سال 1394'!L31,'سال 1395'!L31,'سال 1396'!L31,'سال 1397'!L31,'سال 1398'!L31,'سال 1399'!L31,'سال 1400'!L31,'سال 1401'!L31,'سال 1402'!L31,'سال 1403'!L31)</ns0:f>
        <ns0:v>-0.03254053160499114</ns0:v>
      </ns0:c>
      <ns0:c r="M87" s="75">
        <ns0:f>MIN('سال 1392'!M31,'سال 1393'!M31,'سال 1394'!M31,'سال 1395'!M31,'سال 1396'!M31,'سال 1397'!M31,'سال 1398'!M31,'سال 1399'!M31,'سال 1400'!M31,'سال 1401'!M31,'سال 1402'!M31,'سال 1403'!M31)</ns0:f>
        <ns0:v>0.02273803122904062</ns0:v>
      </ns0:c>
    </ns0:row>
    <ns0:row r="88" ht="30" customHeight="1">
      <ns0:c r="A88" s="73" t="inlineStr">
        <ns0:is>
          <ns0:t>سبزیجات و سیب‌زمینی</ns0:t>
        </ns0:is>
      </ns0:c>
      <ns0:c r="B88" s="75">
        <ns0:f>MIN('سال 1392'!B32,'سال 1393'!B32,'سال 1394'!B32,'سال 1395'!B32,'سال 1396'!B32,'سال 1397'!B32,'سال 1398'!B32,'سال 1399'!B32,'سال 1400'!B32,'سال 1401'!B32,'سال 1402'!B32,'سال 1403'!B32)</ns0:f>
        <ns0:v>-0.016230171412898817</ns0:v>
      </ns0:c>
      <ns0:c r="C88" s="75">
        <ns0:f>MIN('سال 1392'!C32,'سال 1393'!C32,'سال 1394'!C32,'سال 1395'!C32,'سال 1396'!C32,'سال 1397'!C32,'سال 1398'!C32,'سال 1399'!C32,'سال 1400'!C32,'سال 1401'!C32,'سال 1402'!C32,'سال 1403'!C32)</ns0:f>
        <ns0:v>-0.14353889057865224</ns0:v>
      </ns0:c>
      <ns0:c r="D88" s="75">
        <ns0:f>MIN('سال 1392'!D32,'سال 1393'!D32,'سال 1394'!D32,'سال 1395'!D32,'سال 1396'!D32,'سال 1397'!D32,'سال 1398'!D32,'سال 1399'!D32,'سال 1400'!D32,'سال 1401'!D32,'سال 1402'!D32,'سال 1403'!D32)</ns0:f>
        <ns0:v>-0.09479672732062921</ns0:v>
      </ns0:c>
      <ns0:c r="E88" s="75">
        <ns0:f>MIN('سال 1392'!E32,'سال 1393'!E32,'سال 1394'!E32,'سال 1395'!E32,'سال 1396'!E32,'سال 1397'!E32,'سال 1398'!E32,'سال 1399'!E32,'سال 1400'!E32,'سال 1401'!E32,'سال 1402'!E32,'سال 1403'!E32)</ns0:f>
        <ns0:v>-0.17550835891965322</ns0:v>
      </ns0:c>
      <ns0:c r="F88" s="75">
        <ns0:f>MIN('سال 1392'!F32,'سال 1393'!F32,'سال 1394'!F32,'سال 1395'!F32,'سال 1396'!F32,'سال 1397'!F32,'سال 1398'!F32,'سال 1399'!F32,'سال 1400'!F32,'سال 1401'!F32,'سال 1402'!F32,'سال 1403'!F32)</ns0:f>
        <ns0:v>-0.0043349910820044855</ns0:v>
      </ns0:c>
      <ns0:c r="G88" s="75">
        <ns0:f>MIN('سال 1392'!G32,'سال 1393'!G32,'سال 1394'!G32,'سال 1395'!G32,'سال 1396'!G32,'سال 1397'!G32,'سال 1398'!G32,'سال 1399'!G32,'سال 1400'!G32,'سال 1401'!G32,'سال 1402'!G32,'سال 1403'!G32)</ns0:f>
        <ns0:v>0.04415944332786493</ns0:v>
      </ns0:c>
      <ns0:c r="H88" s="74">
        <ns0:f>MIN('سال 1392'!H32,'سال 1393'!H32,'سال 1394'!H32,'سال 1395'!H32,'سال 1396'!H32,'سال 1397'!H32,'سال 1398'!H32,'سال 1399'!H32,'سال 1400'!H32,'سال 1401'!H32,'سال 1402'!H32,'سال 1403'!H32)</ns0:f>
        <ns0:v>-0.5168915756809886</ns0:v>
      </ns0:c>
      <ns0:c r="I88" s="75">
        <ns0:f>MIN('سال 1392'!I32,'سال 1393'!I32,'سال 1394'!I32,'سال 1395'!I32,'سال 1396'!I32,'سال 1397'!I32,'سال 1398'!I32,'سال 1399'!I32,'سال 1400'!I32,'سال 1401'!I32,'سال 1402'!I32,'سال 1403'!I32)</ns0:f>
        <ns0:v>-0.0014352140851253354</ns0:v>
      </ns0:c>
      <ns0:c r="J88" s="75">
        <ns0:f>MIN('سال 1392'!J32,'سال 1393'!J32,'سال 1394'!J32,'سال 1395'!J32,'سال 1396'!J32,'سال 1397'!J32,'سال 1398'!J32,'سال 1399'!J32,'سال 1400'!J32,'سال 1401'!J32,'سال 1402'!J32,'سال 1403'!J32)</ns0:f>
        <ns0:v>0.009747954198263383</ns0:v>
      </ns0:c>
      <ns0:c r="K88" s="75">
        <ns0:f>MIN('سال 1392'!K32,'سال 1393'!K32,'سال 1394'!K32,'سال 1395'!K32,'سال 1396'!K32,'سال 1397'!K32,'سال 1398'!K32,'سال 1399'!K32,'سال 1400'!K32,'سال 1401'!K32,'سال 1402'!K32,'سال 1403'!K32)</ns0:f>
        <ns0:v>-0.0882242747012764</ns0:v>
      </ns0:c>
      <ns0:c r="L88" s="75">
        <ns0:f>MIN('سال 1392'!L32,'سال 1393'!L32,'سال 1394'!L32,'سال 1395'!L32,'سال 1396'!L32,'سال 1397'!L32,'سال 1398'!L32,'سال 1399'!L32,'سال 1400'!L32,'سال 1401'!L32,'سال 1402'!L32,'سال 1403'!L32)</ns0:f>
        <ns0:v>0.052430782420157654</ns0:v>
      </ns0:c>
      <ns0:c r="M88" s="75">
        <ns0:f>MIN('سال 1392'!M32,'سال 1393'!M32,'سال 1394'!M32,'سال 1395'!M32,'سال 1396'!M32,'سال 1397'!M32,'سال 1398'!M32,'سال 1399'!M32,'سال 1400'!M32,'سال 1401'!M32,'سال 1402'!M32,'سال 1403'!M32)</ns0:f>
        <ns0:v>-0.031602474501806865</ns0:v>
      </ns0:c>
    </ns0:row>
    <ns0:row r="89" ht="30" customHeight="1">
      <ns0:c r="A89" s="73" t="inlineStr">
        <ns0:is>
          <ns0:t>حبوبات</ns0:t>
        </ns0:is>
      </ns0:c>
      <ns0:c r="B89" s="75">
        <ns0:f>MIN('سال 1392'!B33,'سال 1393'!B33,'سال 1394'!B33,'سال 1395'!B33,'سال 1396'!B33,'سال 1397'!B33,'سال 1398'!B33,'سال 1399'!B33,'سال 1400'!B33,'سال 1401'!B33,'سال 1402'!B33,'سال 1403'!B33)</ns0:f>
        <ns0:v>-0.07149336556806289</ns0:v>
      </ns0:c>
      <ns0:c r="C89" s="75">
        <ns0:f>MIN('سال 1392'!C33,'سال 1393'!C33,'سال 1394'!C33,'سال 1395'!C33,'سال 1396'!C33,'سال 1397'!C33,'سال 1398'!C33,'سال 1399'!C33,'سال 1400'!C33,'سال 1401'!C33,'سال 1402'!C33,'سال 1403'!C33)</ns0:f>
        <ns0:v>0.008025720560446028</ns0:v>
      </ns0:c>
      <ns0:c r="D89" s="75">
        <ns0:f>MIN('سال 1392'!D33,'سال 1393'!D33,'سال 1394'!D33,'سال 1395'!D33,'سال 1396'!D33,'سال 1397'!D33,'سال 1398'!D33,'سال 1399'!D33,'سال 1400'!D33,'سال 1401'!D33,'سال 1402'!D33,'سال 1403'!D33)</ns0:f>
        <ns0:v>0.040012044140666087</ns0:v>
      </ns0:c>
      <ns0:c r="E89" s="75">
        <ns0:f>MIN('سال 1392'!E33,'سال 1393'!E33,'سال 1394'!E33,'سال 1395'!E33,'سال 1396'!E33,'سال 1397'!E33,'سال 1398'!E33,'سال 1399'!E33,'سال 1400'!E33,'سال 1401'!E33,'سال 1402'!E33,'سال 1403'!E33)</ns0:f>
        <ns0:v>0.24147969724999896</ns0:v>
      </ns0:c>
      <ns0:c r="F89" s="75">
        <ns0:f>MIN('سال 1392'!F33,'سال 1393'!F33,'سال 1394'!F33,'سال 1395'!F33,'سال 1396'!F33,'سال 1397'!F33,'سال 1398'!F33,'سال 1399'!F33,'سال 1400'!F33,'سال 1401'!F33,'سال 1402'!F33,'سال 1403'!F33)</ns0:f>
        <ns0:v>-0.10759499997555176</ns0:v>
      </ns0:c>
      <ns0:c r="G89" s="75">
        <ns0:f>MIN('سال 1392'!G33,'سال 1393'!G33,'سال 1394'!G33,'سال 1395'!G33,'سال 1396'!G33,'سال 1397'!G33,'سال 1398'!G33,'سال 1399'!G33,'سال 1400'!G33,'سال 1401'!G33,'سال 1402'!G33,'سال 1403'!G33)</ns0:f>
        <ns0:v>-0.06284304675706481</ns0:v>
      </ns0:c>
      <ns0:c r="H89" s="75">
        <ns0:f>MIN('سال 1392'!H33,'سال 1393'!H33,'سال 1394'!H33,'سال 1395'!H33,'سال 1396'!H33,'سال 1397'!H33,'سال 1398'!H33,'سال 1399'!H33,'سال 1400'!H33,'سال 1401'!H33,'سال 1402'!H33,'سال 1403'!H33)</ns0:f>
        <ns0:v>-0.13288162176413004</ns0:v>
      </ns0:c>
      <ns0:c r="I89" s="74">
        <ns0:f>MIN('سال 1392'!I33,'سال 1393'!I33,'سال 1394'!I33,'سال 1395'!I33,'سال 1396'!I33,'سال 1397'!I33,'سال 1398'!I33,'سال 1399'!I33,'سال 1400'!I33,'سال 1401'!I33,'سال 1402'!I33,'سال 1403'!I33)</ns0:f>
        <ns0:v>-0.7141280715443314</ns0:v>
      </ns0:c>
      <ns0:c r="J89" s="75">
        <ns0:f>MIN('سال 1392'!J33,'سال 1393'!J33,'سال 1394'!J33,'سال 1395'!J33,'سال 1396'!J33,'سال 1397'!J33,'سال 1398'!J33,'سال 1399'!J33,'سال 1400'!J33,'سال 1401'!J33,'سال 1402'!J33,'سال 1403'!J33)</ns0:f>
        <ns0:v>-0.13373176857509006</ns0:v>
      </ns0:c>
      <ns0:c r="K89" s="75">
        <ns0:f>MIN('سال 1392'!K33,'سال 1393'!K33,'سال 1394'!K33,'سال 1395'!K33,'سال 1396'!K33,'سال 1397'!K33,'سال 1398'!K33,'سال 1399'!K33,'سال 1400'!K33,'سال 1401'!K33,'سال 1402'!K33,'سال 1403'!K33)</ns0:f>
        <ns0:v>-0.18137386600794858</ns0:v>
      </ns0:c>
      <ns0:c r="L89" s="75">
        <ns0:f>MIN('سال 1392'!L33,'سال 1393'!L33,'سال 1394'!L33,'سال 1395'!L33,'سال 1396'!L33,'سال 1397'!L33,'سال 1398'!L33,'سال 1399'!L33,'سال 1400'!L33,'سال 1401'!L33,'سال 1402'!L33,'سال 1403'!L33)</ns0:f>
        <ns0:v>0.026988183280516557</ns0:v>
      </ns0:c>
      <ns0:c r="M89" s="75">
        <ns0:f>MIN('سال 1392'!M33,'سال 1393'!M33,'سال 1394'!M33,'سال 1395'!M33,'سال 1396'!M33,'سال 1397'!M33,'سال 1398'!M33,'سال 1399'!M33,'سال 1400'!M33,'سال 1401'!M33,'سال 1402'!M33,'سال 1403'!M33)</ns0:f>
        <ns0:v>0.0014827640769833595</ns0:v>
      </ns0:c>
    </ns0:row>
    <ns0:row r="90" ht="30" customHeight="1">
      <ns0:c r="A90" s="73" t="inlineStr">
        <ns0:is>
          <ns0:t>مغزها، خشکبار و خرما</ns0:t>
        </ns0:is>
      </ns0:c>
      <ns0:c r="B90" s="75">
        <ns0:f>MIN('سال 1392'!B34,'سال 1393'!B34,'سال 1394'!B34,'سال 1395'!B34,'سال 1396'!B34,'سال 1397'!B34,'سال 1398'!B34,'سال 1399'!B34,'سال 1400'!B34,'سال 1401'!B34,'سال 1402'!B34,'سال 1403'!B34)</ns0:f>
        <ns0:v>-0.19530917539828943</ns0:v>
      </ns0:c>
      <ns0:c r="C90" s="75">
        <ns0:f>MIN('سال 1392'!C34,'سال 1393'!C34,'سال 1394'!C34,'سال 1395'!C34,'سال 1396'!C34,'سال 1397'!C34,'سال 1398'!C34,'سال 1399'!C34,'سال 1400'!C34,'سال 1401'!C34,'سال 1402'!C34,'سال 1403'!C34)</ns0:f>
        <ns0:v>-0.09276065809614557</ns0:v>
      </ns0:c>
      <ns0:c r="D90" s="75">
        <ns0:f>MIN('سال 1392'!D34,'سال 1393'!D34,'سال 1394'!D34,'سال 1395'!D34,'سال 1396'!D34,'سال 1397'!D34,'سال 1398'!D34,'سال 1399'!D34,'سال 1400'!D34,'سال 1401'!D34,'سال 1402'!D34,'سال 1403'!D34)</ns0:f>
        <ns0:v>-0.48542159224187315</ns0:v>
      </ns0:c>
      <ns0:c r="E90" s="75">
        <ns0:f>MIN('سال 1392'!E34,'سال 1393'!E34,'سال 1394'!E34,'سال 1395'!E34,'سال 1396'!E34,'سال 1397'!E34,'سال 1398'!E34,'سال 1399'!E34,'سال 1400'!E34,'سال 1401'!E34,'سال 1402'!E34,'سال 1403'!E34)</ns0:f>
        <ns0:v>0.06717055768723677</ns0:v>
      </ns0:c>
      <ns0:c r="F90" s="75">
        <ns0:f>MIN('سال 1392'!F34,'سال 1393'!F34,'سال 1394'!F34,'سال 1395'!F34,'سال 1396'!F34,'سال 1397'!F34,'سال 1398'!F34,'سال 1399'!F34,'سال 1400'!F34,'سال 1401'!F34,'سال 1402'!F34,'سال 1403'!F34)</ns0:f>
        <ns0:v>-0.02740035627093237</ns0:v>
      </ns0:c>
      <ns0:c r="G90" s="75">
        <ns0:f>MIN('سال 1392'!G34,'سال 1393'!G34,'سال 1394'!G34,'سال 1395'!G34,'سال 1396'!G34,'سال 1397'!G34,'سال 1398'!G34,'سال 1399'!G34,'سال 1400'!G34,'سال 1401'!G34,'سال 1402'!G34,'سال 1403'!G34)</ns0:f>
        <ns0:v>-0.27148782536103777</ns0:v>
      </ns0:c>
      <ns0:c r="H90" s="75">
        <ns0:f>MIN('سال 1392'!H34,'سال 1393'!H34,'سال 1394'!H34,'سال 1395'!H34,'سال 1396'!H34,'سال 1397'!H34,'سال 1398'!H34,'سال 1399'!H34,'سال 1400'!H34,'سال 1401'!H34,'سال 1402'!H34,'سال 1403'!H34)</ns0:f>
        <ns0:v>-0.1824838425420804</ns0:v>
      </ns0:c>
      <ns0:c r="I90" s="75">
        <ns0:f>MIN('سال 1392'!I34,'سال 1393'!I34,'سال 1394'!I34,'سال 1395'!I34,'سال 1396'!I34,'سال 1397'!I34,'سال 1398'!I34,'سال 1399'!I34,'سال 1400'!I34,'سال 1401'!I34,'سال 1402'!I34,'سال 1403'!I34)</ns0:f>
        <ns0:v>-0.1945378172224728</ns0:v>
      </ns0:c>
      <ns0:c r="J90" s="74">
        <ns0:f>MIN('سال 1392'!J34,'سال 1393'!J34,'سال 1394'!J34,'سال 1395'!J34,'سال 1396'!J34,'سال 1397'!J34,'سال 1398'!J34,'سال 1399'!J34,'سال 1400'!J34,'سال 1401'!J34,'سال 1402'!J34,'سال 1403'!J34)</ns0:f>
        <ns0:v>-1.0032616233108949</ns0:v>
      </ns0:c>
      <ns0:c r="K90" s="75">
        <ns0:f>MIN('سال 1392'!K34,'سال 1393'!K34,'سال 1394'!K34,'سال 1395'!K34,'سال 1396'!K34,'سال 1397'!K34,'سال 1398'!K34,'سال 1399'!K34,'سال 1400'!K34,'سال 1401'!K34,'سال 1402'!K34,'سال 1403'!K34)</ns0:f>
        <ns0:v>-0.13449861552627243</ns0:v>
      </ns0:c>
      <ns0:c r="L90" s="75">
        <ns0:f>MIN('سال 1392'!L34,'سال 1393'!L34,'سال 1394'!L34,'سال 1395'!L34,'سال 1396'!L34,'سال 1397'!L34,'سال 1398'!L34,'سال 1399'!L34,'سال 1400'!L34,'سال 1401'!L34,'سال 1402'!L34,'سال 1403'!L34)</ns0:f>
        <ns0:v>-0.22082188386335574</ns0:v>
      </ns0:c>
      <ns0:c r="M90" s="75">
        <ns0:f>MIN('سال 1392'!M34,'سال 1393'!M34,'سال 1394'!M34,'سال 1395'!M34,'سال 1396'!M34,'سال 1397'!M34,'سال 1398'!M34,'سال 1399'!M34,'سال 1400'!M34,'سال 1401'!M34,'سال 1402'!M34,'سال 1403'!M34)</ns0:f>
        <ns0:v>0.02407357733473901</ns0:v>
      </ns0:c>
    </ns0:row>
    <ns0:row r="91" ht="30" customHeight="1">
      <ns0:c r="A91" s="73" t="inlineStr">
        <ns0:is>
          <ns0:t>قند، شیرینی و تنقلات</ns0:t>
        </ns0:is>
      </ns0:c>
      <ns0:c r="B91" s="75">
        <ns0:f>MIN('سال 1392'!B35,'سال 1393'!B35,'سال 1394'!B35,'سال 1395'!B35,'سال 1396'!B35,'سال 1397'!B35,'سال 1398'!B35,'سال 1399'!B35,'سال 1400'!B35,'سال 1401'!B35,'سال 1402'!B35,'سال 1403'!B35)</ns0:f>
        <ns0:v>-0.13583164302405523</ns0:v>
      </ns0:c>
      <ns0:c r="C91" s="75">
        <ns0:f>MIN('سال 1392'!C35,'سال 1393'!C35,'سال 1394'!C35,'سال 1395'!C35,'سال 1396'!C35,'سال 1397'!C35,'سال 1398'!C35,'سال 1399'!C35,'سال 1400'!C35,'سال 1401'!C35,'سال 1402'!C35,'سال 1403'!C35)</ns0:f>
        <ns0:v>-0.07124017010640553</ns0:v>
      </ns0:c>
      <ns0:c r="D91" s="75">
        <ns0:f>MIN('سال 1392'!D35,'سال 1393'!D35,'سال 1394'!D35,'سال 1395'!D35,'سال 1396'!D35,'سال 1397'!D35,'سال 1398'!D35,'سال 1399'!D35,'سال 1400'!D35,'سال 1401'!D35,'سال 1402'!D35,'سال 1403'!D35)</ns0:f>
        <ns0:v>-0.00934398128245597</ns0:v>
      </ns0:c>
      <ns0:c r="E91" s="75">
        <ns0:f>MIN('سال 1392'!E35,'سال 1393'!E35,'سال 1394'!E35,'سال 1395'!E35,'سال 1396'!E35,'سال 1397'!E35,'سال 1398'!E35,'سال 1399'!E35,'سال 1400'!E35,'سال 1401'!E35,'سال 1402'!E35,'سال 1403'!E35)</ns0:f>
        <ns0:v>-0.11799140342702676</ns0:v>
      </ns0:c>
      <ns0:c r="F91" s="75">
        <ns0:f>MIN('سال 1392'!F35,'سال 1393'!F35,'سال 1394'!F35,'سال 1395'!F35,'سال 1396'!F35,'سال 1397'!F35,'سال 1398'!F35,'سال 1399'!F35,'سال 1400'!F35,'سال 1401'!F35,'سال 1402'!F35,'سال 1403'!F35)</ns0:f>
        <ns0:v>-0.02235538951475981</ns0:v>
      </ns0:c>
      <ns0:c r="G91" s="75">
        <ns0:f>MIN('سال 1392'!G35,'سال 1393'!G35,'سال 1394'!G35,'سال 1395'!G35,'سال 1396'!G35,'سال 1397'!G35,'سال 1398'!G35,'سال 1399'!G35,'سال 1400'!G35,'سال 1401'!G35,'سال 1402'!G35,'سال 1403'!G35)</ns0:f>
        <ns0:v>0.04165177746631673</ns0:v>
      </ns0:c>
      <ns0:c r="H91" s="75">
        <ns0:f>MIN('سال 1392'!H35,'سال 1393'!H35,'سال 1394'!H35,'سال 1395'!H35,'سال 1396'!H35,'سال 1397'!H35,'سال 1398'!H35,'سال 1399'!H35,'سال 1400'!H35,'سال 1401'!H35,'سال 1402'!H35,'سال 1403'!H35)</ns0:f>
        <ns0:v>-0.11699181243957311</ns0:v>
      </ns0:c>
      <ns0:c r="I91" s="75">
        <ns0:f>MIN('سال 1392'!I35,'سال 1393'!I35,'سال 1394'!I35,'سال 1395'!I35,'سال 1396'!I35,'سال 1397'!I35,'سال 1398'!I35,'سال 1399'!I35,'سال 1400'!I35,'سال 1401'!I35,'سال 1402'!I35,'سال 1403'!I35)</ns0:f>
        <ns0:v>-0.04357908428844139</ns0:v>
      </ns0:c>
      <ns0:c r="J91" s="75">
        <ns0:f>MIN('سال 1392'!J35,'سال 1393'!J35,'سال 1394'!J35,'سال 1395'!J35,'سال 1396'!J35,'سال 1397'!J35,'سال 1398'!J35,'سال 1399'!J35,'سال 1400'!J35,'سال 1401'!J35,'سال 1402'!J35,'سال 1403'!J35)</ns0:f>
        <ns0:v>-0.028108531250152627</ns0:v>
      </ns0:c>
      <ns0:c r="K91" s="74">
        <ns0:f>MIN('سال 1392'!K35,'سال 1393'!K35,'سال 1394'!K35,'سال 1395'!K35,'سال 1396'!K35,'سال 1397'!K35,'سال 1398'!K35,'سال 1399'!K35,'سال 1400'!K35,'سال 1401'!K35,'سال 1402'!K35,'سال 1403'!K35)</ns0:f>
        <ns0:v>-0.6010012839881858</ns0:v>
      </ns0:c>
      <ns0:c r="L91" s="75">
        <ns0:f>MIN('سال 1392'!L35,'سال 1393'!L35,'سال 1394'!L35,'سال 1395'!L35,'سال 1396'!L35,'سال 1397'!L35,'سال 1398'!L35,'سال 1399'!L35,'سال 1400'!L35,'سال 1401'!L35,'سال 1402'!L35,'سال 1403'!L35)</ns0:f>
        <ns0:v>-0.06804712599350479</ns0:v>
      </ns0:c>
      <ns0:c r="M91" s="75">
        <ns0:f>MIN('سال 1392'!M35,'سال 1393'!M35,'سال 1394'!M35,'سال 1395'!M35,'سال 1396'!M35,'سال 1397'!M35,'سال 1398'!M35,'سال 1399'!M35,'سال 1400'!M35,'سال 1401'!M35,'سال 1402'!M35,'سال 1403'!M35)</ns0:f>
        <ns0:v>-0.006301310344836286</ns0:v>
      </ns0:c>
    </ns0:row>
    <ns0:row r="92" ht="30" customHeight="1">
      <ns0:c r="A92" s="73" t="inlineStr">
        <ns0:is>
          <ns0:t>نوشیدنی بدون نوشابه</ns0:t>
        </ns0:is>
      </ns0:c>
      <ns0:c r="B92" s="75">
        <ns0:f>MIN('سال 1392'!B36,'سال 1393'!B36,'سال 1394'!B36,'سال 1395'!B36,'سال 1396'!B36,'سال 1397'!B36,'سال 1398'!B36,'سال 1399'!B36,'سال 1400'!B36,'سال 1401'!B36,'سال 1402'!B36,'سال 1403'!B36)</ns0:f>
        <ns0:v>-0.26162909973096293</ns0:v>
      </ns0:c>
      <ns0:c r="C92" s="75">
        <ns0:f>MIN('سال 1392'!C36,'سال 1393'!C36,'سال 1394'!C36,'سال 1395'!C36,'سال 1396'!C36,'سال 1397'!C36,'سال 1398'!C36,'سال 1399'!C36,'سال 1400'!C36,'سال 1401'!C36,'سال 1402'!C36,'سال 1403'!C36)</ns0:f>
        <ns0:v>0.15570143047710125</ns0:v>
      </ns0:c>
      <ns0:c r="D92" s="75">
        <ns0:f>MIN('سال 1392'!D36,'سال 1393'!D36,'سال 1394'!D36,'سال 1395'!D36,'سال 1396'!D36,'سال 1397'!D36,'سال 1398'!D36,'سال 1399'!D36,'سال 1400'!D36,'سال 1401'!D36,'سال 1402'!D36,'سال 1403'!D36)</ns0:f>
        <ns0:v>-0.07429241189952461</ns0:v>
      </ns0:c>
      <ns0:c r="E92" s="75">
        <ns0:f>MIN('سال 1392'!E36,'سال 1393'!E36,'سال 1394'!E36,'سال 1395'!E36,'سال 1396'!E36,'سال 1397'!E36,'سال 1398'!E36,'سال 1399'!E36,'سال 1400'!E36,'سال 1401'!E36,'سال 1402'!E36,'سال 1403'!E36)</ns0:f>
        <ns0:v>0.2592873932121507</ns0:v>
      </ns0:c>
      <ns0:c r="F92" s="75">
        <ns0:f>MIN('سال 1392'!F36,'سال 1393'!F36,'سال 1394'!F36,'سال 1395'!F36,'سال 1396'!F36,'سال 1397'!F36,'سال 1398'!F36,'سال 1399'!F36,'سال 1400'!F36,'سال 1401'!F36,'سال 1402'!F36,'سال 1403'!F36)</ns0:f>
        <ns0:v>-0.10548334279456267</ns0:v>
      </ns0:c>
      <ns0:c r="G92" s="75">
        <ns0:f>MIN('سال 1392'!G36,'سال 1393'!G36,'سال 1394'!G36,'سال 1395'!G36,'سال 1396'!G36,'سال 1397'!G36,'سال 1398'!G36,'سال 1399'!G36,'سال 1400'!G36,'سال 1401'!G36,'سال 1402'!G36,'سال 1403'!G36)</ns0:f>
        <ns0:v>-0.03336901328846036</ns0:v>
      </ns0:c>
      <ns0:c r="H92" s="75">
        <ns0:f>MIN('سال 1392'!H36,'سال 1393'!H36,'سال 1394'!H36,'سال 1395'!H36,'سال 1396'!H36,'سال 1397'!H36,'سال 1398'!H36,'سال 1399'!H36,'سال 1400'!H36,'سال 1401'!H36,'سال 1402'!H36,'سال 1403'!H36)</ns0:f>
        <ns0:v>0.1546709705344874</ns0:v>
      </ns0:c>
      <ns0:c r="I92" s="75">
        <ns0:f>MIN('سال 1392'!I36,'سال 1393'!I36,'سال 1394'!I36,'سال 1395'!I36,'سال 1396'!I36,'سال 1397'!I36,'سال 1398'!I36,'سال 1399'!I36,'سال 1400'!I36,'سال 1401'!I36,'سال 1402'!I36,'سال 1403'!I36)</ns0:f>
        <ns0:v>0.07079126584231699</ns0:v>
      </ns0:c>
      <ns0:c r="J92" s="75">
        <ns0:f>MIN('سال 1392'!J36,'سال 1393'!J36,'سال 1394'!J36,'سال 1395'!J36,'سال 1396'!J36,'سال 1397'!J36,'سال 1398'!J36,'سال 1399'!J36,'سال 1400'!J36,'سال 1401'!J36,'سال 1402'!J36,'سال 1403'!J36)</ns0:f>
        <ns0:v>-0.14146624304087116</ns0:v>
      </ns0:c>
      <ns0:c r="K92" s="75">
        <ns0:f>MIN('سال 1392'!K36,'سال 1393'!K36,'سال 1394'!K36,'سال 1395'!K36,'سال 1396'!K36,'سال 1397'!K36,'سال 1398'!K36,'سال 1399'!K36,'سال 1400'!K36,'سال 1401'!K36,'سال 1402'!K36,'سال 1403'!K36)</ns0:f>
        <ns0:v>-0.220191325888569</ns0:v>
      </ns0:c>
      <ns0:c r="L92" s="74">
        <ns0:f>MIN('سال 1392'!L36,'سال 1393'!L36,'سال 1394'!L36,'سال 1395'!L36,'سال 1396'!L36,'سال 1397'!L36,'سال 1398'!L36,'سال 1399'!L36,'سال 1400'!L36,'سال 1401'!L36,'سال 1402'!L36,'سال 1403'!L36)</ns0:f>
        <ns0:v>-0.8920476951452764</ns0:v>
      </ns0:c>
      <ns0:c r="M92" s="75">
        <ns0:f>MIN('سال 1392'!M36,'سال 1393'!M36,'سال 1394'!M36,'سال 1395'!M36,'سال 1396'!M36,'سال 1397'!M36,'سال 1398'!M36,'سال 1399'!M36,'سال 1400'!M36,'سال 1401'!M36,'سال 1402'!M36,'سال 1403'!M36)</ns0:f>
        <ns0:v>0.0633766580978956</ns0:v>
      </ns0:c>
    </ns0:row>
    <ns0:row r="93" ht="30" customHeight="1">
      <ns0:c r="A93" s="73" t="inlineStr">
        <ns0:is>
          <ns0:t>ادویه و چاشنی</ns0:t>
        </ns0:is>
      </ns0:c>
      <ns0:c r="B93" s="75">
        <ns0:f>MIN('سال 1392'!B37,'سال 1393'!B37,'سال 1394'!B37,'سال 1395'!B37,'سال 1396'!B37,'سال 1397'!B37,'سال 1398'!B37,'سال 1399'!B37,'سال 1400'!B37,'سال 1401'!B37,'سال 1402'!B37,'سال 1403'!B37)</ns0:f>
        <ns0:v>0.19800956555727228</ns0:v>
      </ns0:c>
      <ns0:c r="C93" s="75">
        <ns0:f>MIN('سال 1392'!C37,'سال 1393'!C37,'سال 1394'!C37,'سال 1395'!C37,'سال 1396'!C37,'سال 1397'!C37,'سال 1398'!C37,'سال 1399'!C37,'سال 1400'!C37,'سال 1401'!C37,'سال 1402'!C37,'سال 1403'!C37)</ns0:f>
        <ns0:v>-0.1574611429069411</ns0:v>
      </ns0:c>
      <ns0:c r="D93" s="75">
        <ns0:f>MIN('سال 1392'!D37,'سال 1393'!D37,'سال 1394'!D37,'سال 1395'!D37,'سال 1396'!D37,'سال 1397'!D37,'سال 1398'!D37,'سال 1399'!D37,'سال 1400'!D37,'سال 1401'!D37,'سال 1402'!D37,'سال 1403'!D37)</ns0:f>
        <ns0:v>-0.19390085692556197</ns0:v>
      </ns0:c>
      <ns0:c r="E93" s="75">
        <ns0:f>MIN('سال 1392'!E37,'سال 1393'!E37,'سال 1394'!E37,'سال 1395'!E37,'سال 1396'!E37,'سال 1397'!E37,'سال 1398'!E37,'سال 1399'!E37,'سال 1400'!E37,'سال 1401'!E37,'سال 1402'!E37,'سال 1403'!E37)</ns0:f>
        <ns0:v>-0.38364570752444815</ns0:v>
      </ns0:c>
      <ns0:c r="F93" s="75">
        <ns0:f>MIN('سال 1392'!F37,'سال 1393'!F37,'سال 1394'!F37,'سال 1395'!F37,'سال 1396'!F37,'سال 1397'!F37,'سال 1398'!F37,'سال 1399'!F37,'سال 1400'!F37,'سال 1401'!F37,'سال 1402'!F37,'سال 1403'!F37)</ns0:f>
        <ns0:v>-0.05511633490835462</ns0:v>
      </ns0:c>
      <ns0:c r="G93" s="75">
        <ns0:f>MIN('سال 1392'!G37,'سال 1393'!G37,'سال 1394'!G37,'سال 1395'!G37,'سال 1396'!G37,'سال 1397'!G37,'سال 1398'!G37,'سال 1399'!G37,'سال 1400'!G37,'سال 1401'!G37,'سال 1402'!G37,'سال 1403'!G37)</ns0:f>
        <ns0:v>0.05029517268256615</ns0:v>
      </ns0:c>
      <ns0:c r="H93" s="75">
        <ns0:f>MIN('سال 1392'!H37,'سال 1393'!H37,'سال 1394'!H37,'سال 1395'!H37,'سال 1396'!H37,'سال 1397'!H37,'سال 1398'!H37,'سال 1399'!H37,'سال 1400'!H37,'سال 1401'!H37,'سال 1402'!H37,'سال 1403'!H37)</ns0:f>
        <ns0:v>-0.12041321915053659</ns0:v>
      </ns0:c>
      <ns0:c r="I93" s="75">
        <ns0:f>MIN('سال 1392'!I37,'سال 1393'!I37,'سال 1394'!I37,'سال 1395'!I37,'سال 1396'!I37,'سال 1397'!I37,'سال 1398'!I37,'سال 1399'!I37,'سال 1400'!I37,'سال 1401'!I37,'سال 1402'!I37,'سال 1403'!I37)</ns0:f>
        <ns0:v>-0.04070699566070879</ns0:v>
      </ns0:c>
      <ns0:c r="J93" s="75">
        <ns0:f>MIN('سال 1392'!J37,'سال 1393'!J37,'سال 1394'!J37,'سال 1395'!J37,'سال 1396'!J37,'سال 1397'!J37,'سال 1398'!J37,'سال 1399'!J37,'سال 1400'!J37,'سال 1401'!J37,'سال 1402'!J37,'سال 1403'!J37)</ns0:f>
        <ns0:v>0.1646496018216238</ns0:v>
      </ns0:c>
      <ns0:c r="K93" s="75">
        <ns0:f>MIN('سال 1392'!K37,'سال 1393'!K37,'سال 1394'!K37,'سال 1395'!K37,'سال 1396'!K37,'سال 1397'!K37,'سال 1398'!K37,'سال 1399'!K37,'سال 1400'!K37,'سال 1401'!K37,'سال 1402'!K37,'سال 1403'!K37)</ns0:f>
        <ns0:v>-0.048655194635992174</ns0:v>
      </ns0:c>
      <ns0:c r="L93" s="75">
        <ns0:f>MIN('سال 1392'!L37,'سال 1393'!L37,'سال 1394'!L37,'سال 1395'!L37,'سال 1396'!L37,'سال 1397'!L37,'سال 1398'!L37,'سال 1399'!L37,'سال 1400'!L37,'سال 1401'!L37,'سال 1402'!L37,'سال 1403'!L37)</ns0:f>
        <ns0:v>0.01201911646300697</ns0:v>
      </ns0:c>
      <ns0:c r="M93" s="74">
        <ns0:f>MIN('سال 1392'!M37,'سال 1393'!M37,'سال 1394'!M37,'سال 1395'!M37,'سال 1396'!M37,'سال 1397'!M37,'سال 1398'!M37,'سال 1399'!M37,'سال 1400'!M37,'سال 1401'!M37,'سال 1402'!M37,'سال 1403'!M37)</ns0:f>
        <ns0:v>-0.5033465574023643</ns0:v>
      </ns0:c>
    </ns0:row>
    <ns0:row r="97" ht="28" customHeight="1">
      <ns0:c r="A97" s="71" t="inlineStr">
        <ns0:is>
          <ns0:t>سالانه • بیشینه کشش مارشالی ۱۲×۱۲ | B1</ns0:t>
        </ns0:is>
      </ns0:c>
      <ns0:c r="B97" s="1" t="n"/>
      <ns0:c r="C97" s="1" t="n"/>
      <ns0:c r="D97" s="1" t="n"/>
      <ns0:c r="E97" s="1" t="n"/>
      <ns0:c r="F97" s="1" t="n"/>
      <ns0:c r="G97" s="1" t="n"/>
      <ns0:c r="H97" s="1" t="n"/>
      <ns0:c r="I97" s="1" t="n"/>
      <ns0:c r="J97" s="1" t="n"/>
      <ns0:c r="K97" s="1" t="n"/>
      <ns0:c r="L97" s="1" t="n"/>
      <ns0:c r="M97" s="1" t="n"/>
    </ns0:row>
    <ns0:row r="98" ht="58" customHeight="1">
      <ns0:c r="A98" s="72" t="inlineStr">
        <ns0:is>
          <ns0:t>گروه تقاضا ↓ / گروه قیمت →</ns0:t>
        </ns0:is>
      </ns0:c>
      <ns0:c r="B98" s="72" t="inlineStr">
        <ns0:is>
          <ns0:t>برنج</ns0:t>
        </ns0:is>
      </ns0:c>
      <ns0:c r="C98" s="72" t="inlineStr">
        <ns0:is>
          <ns0:t>نان و غلات</ns0:t>
        </ns0:is>
      </ns0:c>
      <ns0:c r="D98" s="72" t="inlineStr">
        <ns0:is>
          <ns0:t>گوشت</ns0:t>
        </ns0:is>
      </ns0:c>
      <ns0:c r="E98" s="72" t="inlineStr">
        <ns0:is>
          <ns0:t>لبنیات و تخم‌مرغ</ns0:t>
        </ns0:is>
      </ns0:c>
      <ns0:c r="F98" s="72" t="inlineStr">
        <ns0:is>
          <ns0:t>روغن و چربی</ns0:t>
        </ns0:is>
      </ns0:c>
      <ns0:c r="G98" s="72" t="inlineStr">
        <ns0:is>
          <ns0:t>میوه</ns0:t>
        </ns0:is>
      </ns0:c>
      <ns0:c r="H98" s="72" t="inlineStr">
        <ns0:is>
          <ns0:t>سبزیجات و سیب‌زمینی</ns0:t>
        </ns0:is>
      </ns0:c>
      <ns0:c r="I98" s="72" t="inlineStr">
        <ns0:is>
          <ns0:t>حبوبات</ns0:t>
        </ns0:is>
      </ns0:c>
      <ns0:c r="J98" s="72" t="inlineStr">
        <ns0:is>
          <ns0:t>مغزها، خشکبار و خرما</ns0:t>
        </ns0:is>
      </ns0:c>
      <ns0:c r="K98" s="72" t="inlineStr">
        <ns0:is>
          <ns0:t>قند، شیرینی و تنقلات</ns0:t>
        </ns0:is>
      </ns0:c>
      <ns0:c r="L98" s="72" t="inlineStr">
        <ns0:is>
          <ns0:t>نوشیدنی بدون نوشابه</ns0:t>
        </ns0:is>
      </ns0:c>
      <ns0:c r="M98" s="72" t="inlineStr">
        <ns0:is>
          <ns0:t>ادویه و چاشنی</ns0:t>
        </ns0:is>
      </ns0:c>
    </ns0:row>
    <ns0:row r="99" ht="30" customHeight="1">
      <ns0:c r="A99" s="73" t="inlineStr">
        <ns0:is>
          <ns0:t>برنج</ns0:t>
        </ns0:is>
      </ns0:c>
      <ns0:c r="B99" s="74">
        <ns0:f>MAX('سال 1392'!B26,'سال 1393'!B26,'سال 1394'!B26,'سال 1395'!B26,'سال 1396'!B26,'سال 1397'!B26,'سال 1398'!B26,'سال 1399'!B26,'سال 1400'!B26,'سال 1401'!B26,'سال 1402'!B26,'سال 1403'!B26)</ns0:f>
        <ns0:v>-1.0736829227133418</ns0:v>
      </ns0:c>
      <ns0:c r="C99" s="75">
        <ns0:f>MAX('سال 1392'!C26,'سال 1393'!C26,'سال 1394'!C26,'سال 1395'!C26,'سال 1396'!C26,'سال 1397'!C26,'سال 1398'!C26,'سال 1399'!C26,'سال 1400'!C26,'سال 1401'!C26,'سال 1402'!C26,'سال 1403'!C26)</ns0:f>
        <ns0:v>0.037654664655849525</ns0:v>
      </ns0:c>
      <ns0:c r="D99" s="75">
        <ns0:f>MAX('سال 1392'!D26,'سال 1393'!D26,'سال 1394'!D26,'سال 1395'!D26,'سال 1396'!D26,'سال 1397'!D26,'سال 1398'!D26,'سال 1399'!D26,'سال 1400'!D26,'سال 1401'!D26,'سال 1402'!D26,'سال 1403'!D26)</ns0:f>
        <ns0:v>-0.09082010593615261</ns0:v>
      </ns0:c>
      <ns0:c r="E99" s="75">
        <ns0:f>MAX('سال 1392'!E26,'سال 1393'!E26,'سال 1394'!E26,'سال 1395'!E26,'سال 1396'!E26,'سال 1397'!E26,'سال 1398'!E26,'سال 1399'!E26,'سال 1400'!E26,'سال 1401'!E26,'سال 1402'!E26,'سال 1403'!E26)</ns0:f>
        <ns0:v>0.03223361655604396</ns0:v>
      </ns0:c>
      <ns0:c r="F99" s="75">
        <ns0:f>MAX('سال 1392'!F26,'سال 1393'!F26,'سال 1394'!F26,'سال 1395'!F26,'سال 1396'!F26,'سال 1397'!F26,'سال 1398'!F26,'سال 1399'!F26,'سال 1400'!F26,'سال 1401'!F26,'سال 1402'!F26,'سال 1403'!F26)</ns0:f>
        <ns0:v>-0.03078678060345185</ns0:v>
      </ns0:c>
      <ns0:c r="G99" s="75">
        <ns0:f>MAX('سال 1392'!G26,'سال 1393'!G26,'سال 1394'!G26,'سال 1395'!G26,'سال 1396'!G26,'سال 1397'!G26,'سال 1398'!G26,'سال 1399'!G26,'سال 1400'!G26,'سال 1401'!G26,'سال 1402'!G26,'سال 1403'!G26)</ns0:f>
        <ns0:v>-0.07447002739999928</ns0:v>
      </ns0:c>
      <ns0:c r="H99" s="75">
        <ns0:f>MAX('سال 1392'!H26,'سال 1393'!H26,'سال 1394'!H26,'سال 1395'!H26,'سال 1396'!H26,'سال 1397'!H26,'سال 1398'!H26,'سال 1399'!H26,'سال 1400'!H26,'سال 1401'!H26,'سال 1402'!H26,'سال 1403'!H26)</ns0:f>
        <ns0:v>-0.07979967394062033</ns0:v>
      </ns0:c>
      <ns0:c r="I99" s="75">
        <ns0:f>MAX('سال 1392'!I26,'سال 1393'!I26,'سال 1394'!I26,'سال 1395'!I26,'سال 1396'!I26,'سال 1397'!I26,'سال 1398'!I26,'سال 1399'!I26,'سال 1400'!I26,'سال 1401'!I26,'سال 1402'!I26,'سال 1403'!I26)</ns0:f>
        <ns0:v>-0.02451191121155003</ns0:v>
      </ns0:c>
      <ns0:c r="J99" s="75">
        <ns0:f>MAX('سال 1392'!J26,'سال 1393'!J26,'سال 1394'!J26,'سال 1395'!J26,'سال 1396'!J26,'سال 1397'!J26,'سال 1398'!J26,'سال 1399'!J26,'سال 1400'!J26,'سال 1401'!J26,'سال 1402'!J26,'سال 1403'!J26)</ns0:f>
        <ns0:v>-0.008664134570867588</ns0:v>
      </ns0:c>
      <ns0:c r="K99" s="75">
        <ns0:f>MAX('سال 1392'!K26,'سال 1393'!K26,'سال 1394'!K26,'سال 1395'!K26,'سال 1396'!K26,'سال 1397'!K26,'سال 1398'!K26,'سال 1399'!K26,'سال 1400'!K26,'سال 1401'!K26,'سال 1402'!K26,'سال 1403'!K26)</ns0:f>
        <ns0:v>-0.08199695164154619</ns0:v>
      </ns0:c>
      <ns0:c r="L99" s="75">
        <ns0:f>MAX('سال 1392'!L26,'سال 1393'!L26,'سال 1394'!L26,'سال 1395'!L26,'سال 1396'!L26,'سال 1397'!L26,'سال 1398'!L26,'سال 1399'!L26,'سال 1400'!L26,'سال 1401'!L26,'سال 1402'!L26,'سال 1403'!L26)</ns0:f>
        <ns0:v>-0.11606358521979868</ns0:v>
      </ns0:c>
      <ns0:c r="M99" s="75">
        <ns0:f>MAX('سال 1392'!M26,'سال 1393'!M26,'سال 1394'!M26,'سال 1395'!M26,'سال 1396'!M26,'سال 1397'!M26,'سال 1398'!M26,'سال 1399'!M26,'سال 1400'!M26,'سال 1401'!M26,'سال 1402'!M26,'سال 1403'!M26)</ns0:f>
        <ns0:v>0.0527150721473602</ns0:v>
      </ns0:c>
    </ns0:row>
    <ns0:row r="100" ht="30" customHeight="1">
      <ns0:c r="A100" s="73" t="inlineStr">
        <ns0:is>
          <ns0:t>نان و غلات</ns0:t>
        </ns0:is>
      </ns0:c>
      <ns0:c r="B100" s="75">
        <ns0:f>MAX('سال 1392'!B27,'سال 1393'!B27,'سال 1394'!B27,'سال 1395'!B27,'سال 1396'!B27,'سال 1397'!B27,'سال 1398'!B27,'سال 1399'!B27,'سال 1400'!B27,'سال 1401'!B27,'سال 1402'!B27,'سال 1403'!B27)</ns0:f>
        <ns0:v>0.22877305233215978</ns0:v>
      </ns0:c>
      <ns0:c r="C100" s="74">
        <ns0:f>MAX('سال 1392'!C27,'سال 1393'!C27,'سال 1394'!C27,'سال 1395'!C27,'سال 1396'!C27,'سال 1397'!C27,'سال 1398'!C27,'سال 1399'!C27,'سال 1400'!C27,'سال 1401'!C27,'سال 1402'!C27,'سال 1403'!C27)</ns0:f>
        <ns0:v>-0.4368335729557299</ns0:v>
      </ns0:c>
      <ns0:c r="D100" s="75">
        <ns0:f>MAX('سال 1392'!D27,'سال 1393'!D27,'سال 1394'!D27,'سال 1395'!D27,'سال 1396'!D27,'سال 1397'!D27,'سال 1398'!D27,'سال 1399'!D27,'سال 1400'!D27,'سال 1401'!D27,'سال 1402'!D27,'سال 1403'!D27)</ns0:f>
        <ns0:v>0.48709843642707107</ns0:v>
      </ns0:c>
      <ns0:c r="E100" s="75">
        <ns0:f>MAX('سال 1392'!E27,'سال 1393'!E27,'سال 1394'!E27,'سال 1395'!E27,'سال 1396'!E27,'سال 1397'!E27,'سال 1398'!E27,'سال 1399'!E27,'سال 1400'!E27,'سال 1401'!E27,'سال 1402'!E27,'سال 1403'!E27)</ns0:f>
        <ns0:v>-0.10357080552060621</ns0:v>
      </ns0:c>
      <ns0:c r="F100" s="75">
        <ns0:f>MAX('سال 1392'!F27,'سال 1393'!F27,'سال 1394'!F27,'سال 1395'!F27,'سال 1396'!F27,'سال 1397'!F27,'سال 1398'!F27,'سال 1399'!F27,'سال 1400'!F27,'سال 1401'!F27,'سال 1402'!F27,'سال 1403'!F27)</ns0:f>
        <ns0:v>0.03712485517867656</ns0:v>
      </ns0:c>
      <ns0:c r="G100" s="75">
        <ns0:f>MAX('سال 1392'!G27,'سال 1393'!G27,'سال 1394'!G27,'سال 1395'!G27,'سال 1396'!G27,'سال 1397'!G27,'سال 1398'!G27,'سال 1399'!G27,'سال 1400'!G27,'سال 1401'!G27,'سال 1402'!G27,'سال 1403'!G27)</ns0:f>
        <ns0:v>0.07011425798180328</ns0:v>
      </ns0:c>
      <ns0:c r="H100" s="75">
        <ns0:f>MAX('سال 1392'!H27,'سال 1393'!H27,'سال 1394'!H27,'سال 1395'!H27,'سال 1396'!H27,'سال 1397'!H27,'سال 1398'!H27,'سال 1399'!H27,'سال 1400'!H27,'سال 1401'!H27,'سال 1402'!H27,'سال 1403'!H27)</ns0:f>
        <ns0:v>-0.07951427550182494</ns0:v>
      </ns0:c>
      <ns0:c r="I100" s="75">
        <ns0:f>MAX('سال 1392'!I27,'سال 1393'!I27,'سال 1394'!I27,'سال 1395'!I27,'سال 1396'!I27,'سال 1397'!I27,'سال 1398'!I27,'سال 1399'!I27,'سال 1400'!I27,'سال 1401'!I27,'سال 1402'!I27,'سال 1403'!I27)</ns0:f>
        <ns0:v>0.08346254394337926</ns0:v>
      </ns0:c>
      <ns0:c r="J100" s="75">
        <ns0:f>MAX('سال 1392'!J27,'سال 1393'!J27,'سال 1394'!J27,'سال 1395'!J27,'سال 1396'!J27,'سال 1397'!J27,'سال 1398'!J27,'سال 1399'!J27,'سال 1400'!J27,'سال 1401'!J27,'سال 1402'!J27,'سال 1403'!J27)</ns0:f>
        <ns0:v>0.0388966148908949</ns0:v>
      </ns0:c>
      <ns0:c r="K100" s="75">
        <ns0:f>MAX('سال 1392'!K27,'سال 1393'!K27,'سال 1394'!K27,'سال 1395'!K27,'سال 1396'!K27,'سال 1397'!K27,'سال 1398'!K27,'سال 1399'!K27,'سال 1400'!K27,'سال 1401'!K27,'سال 1402'!K27,'سال 1403'!K27)</ns0:f>
        <ns0:v>0.005766067034085207</ns0:v>
      </ns0:c>
      <ns0:c r="L100" s="75">
        <ns0:f>MAX('سال 1392'!L27,'سال 1393'!L27,'سال 1394'!L27,'سال 1395'!L27,'سال 1396'!L27,'سال 1397'!L27,'سال 1398'!L27,'سال 1399'!L27,'سال 1400'!L27,'سال 1401'!L27,'سال 1402'!L27,'سال 1403'!L27)</ns0:f>
        <ns0:v>0.17546451856205653</ns0:v>
      </ns0:c>
      <ns0:c r="M100" s="75">
        <ns0:f>MAX('سال 1392'!M27,'سال 1393'!M27,'سال 1394'!M27,'سال 1395'!M27,'سال 1396'!M27,'سال 1397'!M27,'سال 1398'!M27,'سال 1399'!M27,'سال 1400'!M27,'سال 1401'!M27,'سال 1402'!M27,'سال 1403'!M27)</ns0:f>
        <ns0:v>-0.03484097768696932</ns0:v>
      </ns0:c>
    </ns0:row>
    <ns0:row r="101" ht="30" customHeight="1">
      <ns0:c r="A101" s="73" t="inlineStr">
        <ns0:is>
          <ns0:t>گوشت</ns0:t>
        </ns0:is>
      </ns0:c>
      <ns0:c r="B101" s="75">
        <ns0:f>MAX('سال 1392'!B28,'سال 1393'!B28,'سال 1394'!B28,'سال 1395'!B28,'سال 1396'!B28,'سال 1397'!B28,'سال 1398'!B28,'سال 1399'!B28,'سال 1400'!B28,'سال 1401'!B28,'سال 1402'!B28,'سال 1403'!B28)</ns0:f>
        <ns0:v>0.003854718491911458</ns0:v>
      </ns0:c>
      <ns0:c r="C101" s="75">
        <ns0:f>MAX('سال 1392'!C28,'سال 1393'!C28,'سال 1394'!C28,'سال 1395'!C28,'سال 1396'!C28,'سال 1397'!C28,'سال 1398'!C28,'سال 1399'!C28,'سال 1400'!C28,'سال 1401'!C28,'سال 1402'!C28,'سال 1403'!C28)</ns0:f>
        <ns0:v>0.0281125377864629</ns0:v>
      </ns0:c>
      <ns0:c r="D101" s="74">
        <ns0:f>MAX('سال 1392'!D28,'سال 1393'!D28,'سال 1394'!D28,'سال 1395'!D28,'سال 1396'!D28,'سال 1397'!D28,'سال 1398'!D28,'سال 1399'!D28,'سال 1400'!D28,'سال 1401'!D28,'سال 1402'!D28,'سال 1403'!D28)</ns0:f>
        <ns0:v>-0.9072471204680018</ns0:v>
      </ns0:c>
      <ns0:c r="E101" s="75">
        <ns0:f>MAX('سال 1392'!E28,'سال 1393'!E28,'سال 1394'!E28,'سال 1395'!E28,'سال 1396'!E28,'سال 1397'!E28,'سال 1398'!E28,'سال 1399'!E28,'سال 1400'!E28,'سال 1401'!E28,'سال 1402'!E28,'سال 1403'!E28)</ns0:f>
        <ns0:v>-0.011931683069498553</ns0:v>
      </ns0:c>
      <ns0:c r="F101" s="75">
        <ns0:f>MAX('سال 1392'!F28,'سال 1393'!F28,'سال 1394'!F28,'سال 1395'!F28,'سال 1396'!F28,'سال 1397'!F28,'سال 1398'!F28,'سال 1399'!F28,'سال 1400'!F28,'سال 1401'!F28,'سال 1402'!F28,'سال 1403'!F28)</ns0:f>
        <ns0:v>-0.07234244452833617</ns0:v>
      </ns0:c>
      <ns0:c r="G101" s="75">
        <ns0:f>MAX('سال 1392'!G28,'سال 1393'!G28,'سال 1394'!G28,'سال 1395'!G28,'سال 1396'!G28,'سال 1397'!G28,'سال 1398'!G28,'سال 1399'!G28,'سال 1400'!G28,'سال 1401'!G28,'سال 1402'!G28,'سال 1403'!G28)</ns0:f>
        <ns0:v>-0.004021091335226355</ns0:v>
      </ns0:c>
      <ns0:c r="H101" s="75">
        <ns0:f>MAX('سال 1392'!H28,'سال 1393'!H28,'سال 1394'!H28,'سال 1395'!H28,'سال 1396'!H28,'سال 1397'!H28,'سال 1398'!H28,'سال 1399'!H28,'سال 1400'!H28,'سال 1401'!H28,'سال 1402'!H28,'سال 1403'!H28)</ns0:f>
        <ns0:v>-0.0826109059673058</ns0:v>
      </ns0:c>
      <ns0:c r="I101" s="75">
        <ns0:f>MAX('سال 1392'!I28,'سال 1393'!I28,'سال 1394'!I28,'سال 1395'!I28,'سال 1396'!I28,'سال 1397'!I28,'سال 1398'!I28,'سال 1399'!I28,'سال 1400'!I28,'سال 1401'!I28,'سال 1402'!I28,'سال 1403'!I28)</ns0:f>
        <ns0:v>-0.018744739067578297</ns0:v>
      </ns0:c>
      <ns0:c r="J101" s="75">
        <ns0:f>MAX('سال 1392'!J28,'سال 1393'!J28,'سال 1394'!J28,'سال 1395'!J28,'سال 1396'!J28,'سال 1397'!J28,'سال 1398'!J28,'سال 1399'!J28,'سال 1400'!J28,'سال 1401'!J28,'سال 1402'!J28,'سال 1403'!J28)</ns0:f>
        <ns0:v>-0.0313757702515991</ns0:v>
      </ns0:c>
      <ns0:c r="K101" s="75">
        <ns0:f>MAX('سال 1392'!K28,'سال 1393'!K28,'سال 1394'!K28,'سال 1395'!K28,'سال 1396'!K28,'سال 1397'!K28,'سال 1398'!K28,'سال 1399'!K28,'سال 1400'!K28,'سال 1401'!K28,'سال 1402'!K28,'سال 1403'!K28)</ns0:f>
        <ns0:v>0.005780231121696882</ns0:v>
      </ns0:c>
      <ns0:c r="L101" s="75">
        <ns0:f>MAX('سال 1392'!L28,'سال 1393'!L28,'سال 1394'!L28,'سال 1395'!L28,'سال 1396'!L28,'سال 1397'!L28,'سال 1398'!L28,'سال 1399'!L28,'سال 1400'!L28,'سال 1401'!L28,'سال 1402'!L28,'سال 1403'!L28)</ns0:f>
        <ns0:v>-0.04097032534600657</ns0:v>
      </ns0:c>
      <ns0:c r="M101" s="75">
        <ns0:f>MAX('سال 1392'!M28,'سال 1393'!M28,'سال 1394'!M28,'سال 1395'!M28,'سال 1396'!M28,'سال 1397'!M28,'سال 1398'!M28,'سال 1399'!M28,'سال 1400'!M28,'سال 1401'!M28,'سال 1402'!M28,'سال 1403'!M28)</ns0:f>
        <ns0:v>-0.03796416010783711</ns0:v>
      </ns0:c>
    </ns0:row>
    <ns0:row r="102" ht="30" customHeight="1">
      <ns0:c r="A102" s="73" t="inlineStr">
        <ns0:is>
          <ns0:t>لبنیات و تخم‌مرغ</ns0:t>
        </ns0:is>
      </ns0:c>
      <ns0:c r="B102" s="75">
        <ns0:f>MAX('سال 1392'!B29,'سال 1393'!B29,'سال 1394'!B29,'سال 1395'!B29,'سال 1396'!B29,'سال 1397'!B29,'سال 1398'!B29,'سال 1399'!B29,'سال 1400'!B29,'سال 1401'!B29,'سال 1402'!B29,'سال 1403'!B29)</ns0:f>
        <ns0:v>0.11781699988512123</ns0:v>
      </ns0:c>
      <ns0:c r="C102" s="75">
        <ns0:f>MAX('سال 1392'!C29,'سال 1393'!C29,'سال 1394'!C29,'سال 1395'!C29,'سال 1396'!C29,'سال 1397'!C29,'سال 1398'!C29,'سال 1399'!C29,'سال 1400'!C29,'سال 1401'!C29,'سال 1402'!C29,'سال 1403'!C29)</ns0:f>
        <ns0:v>-0.15632319435472117</ns0:v>
      </ns0:c>
      <ns0:c r="D102" s="75">
        <ns0:f>MAX('سال 1392'!D29,'سال 1393'!D29,'سال 1394'!D29,'سال 1395'!D29,'سال 1396'!D29,'سال 1397'!D29,'سال 1398'!D29,'سال 1399'!D29,'سال 1400'!D29,'سال 1401'!D29,'سال 1402'!D29,'سال 1403'!D29)</ns0:f>
        <ns0:v>0.06657141418465637</ns0:v>
      </ns0:c>
      <ns0:c r="E102" s="74">
        <ns0:f>MAX('سال 1392'!E29,'سال 1393'!E29,'سال 1394'!E29,'سال 1395'!E29,'سال 1396'!E29,'سال 1397'!E29,'سال 1398'!E29,'سال 1399'!E29,'سال 1400'!E29,'سال 1401'!E29,'سال 1402'!E29,'سال 1403'!E29)</ns0:f>
        <ns0:v>-0.7824223635141967</ns0:v>
      </ns0:c>
      <ns0:c r="F102" s="75">
        <ns0:f>MAX('سال 1392'!F29,'سال 1393'!F29,'سال 1394'!F29,'سال 1395'!F29,'سال 1396'!F29,'سال 1397'!F29,'سال 1398'!F29,'سال 1399'!F29,'سال 1400'!F29,'سال 1401'!F29,'سال 1402'!F29,'سال 1403'!F29)</ns0:f>
        <ns0:v>0.006485917815303836</ns0:v>
      </ns0:c>
      <ns0:c r="G102" s="75">
        <ns0:f>MAX('سال 1392'!G29,'سال 1393'!G29,'سال 1394'!G29,'سال 1395'!G29,'سال 1396'!G29,'سال 1397'!G29,'سال 1398'!G29,'سال 1399'!G29,'سال 1400'!G29,'سال 1401'!G29,'سال 1402'!G29,'سال 1403'!G29)</ns0:f>
        <ns0:v>0.03838116647949569</ns0:v>
      </ns0:c>
      <ns0:c r="H102" s="75">
        <ns0:f>MAX('سال 1392'!H29,'سال 1393'!H29,'سال 1394'!H29,'سال 1395'!H29,'سال 1396'!H29,'سال 1397'!H29,'سال 1398'!H29,'سال 1399'!H29,'سال 1400'!H29,'سال 1401'!H29,'سال 1402'!H29,'سال 1403'!H29)</ns0:f>
        <ns0:v>-0.12749763574333012</ns0:v>
      </ns0:c>
      <ns0:c r="I102" s="75">
        <ns0:f>MAX('سال 1392'!I29,'سال 1393'!I29,'سال 1394'!I29,'سال 1395'!I29,'سال 1396'!I29,'سال 1397'!I29,'سال 1398'!I29,'سال 1399'!I29,'سال 1400'!I29,'سال 1401'!I29,'سال 1402'!I29,'سال 1403'!I29)</ns0:f>
        <ns0:v>0.04775990081612658</ns0:v>
      </ns0:c>
      <ns0:c r="J102" s="75">
        <ns0:f>MAX('سال 1392'!J29,'سال 1393'!J29,'سال 1394'!J29,'سال 1395'!J29,'سال 1396'!J29,'سال 1397'!J29,'سال 1398'!J29,'سال 1399'!J29,'سال 1400'!J29,'سال 1401'!J29,'سال 1402'!J29,'سال 1403'!J29)</ns0:f>
        <ns0:v>0.09510040413882695</ns0:v>
      </ns0:c>
      <ns0:c r="K102" s="75">
        <ns0:f>MAX('سال 1392'!K29,'سال 1393'!K29,'سال 1394'!K29,'سال 1395'!K29,'سال 1396'!K29,'سال 1397'!K29,'سال 1398'!K29,'سال 1399'!K29,'سال 1400'!K29,'سال 1401'!K29,'سال 1402'!K29,'سال 1403'!K29)</ns0:f>
        <ns0:v>-0.03932185468964882</ns0:v>
      </ns0:c>
      <ns0:c r="L102" s="75">
        <ns0:f>MAX('سال 1392'!L29,'سال 1393'!L29,'سال 1394'!L29,'سال 1395'!L29,'سال 1396'!L29,'سال 1397'!L29,'سال 1398'!L29,'سال 1399'!L29,'سال 1400'!L29,'سال 1401'!L29,'سال 1402'!L29,'سال 1403'!L29)</ns0:f>
        <ns0:v>0.12117237938563231</ns0:v>
      </ns0:c>
      <ns0:c r="M102" s="75">
        <ns0:f>MAX('سال 1392'!M29,'سال 1393'!M29,'سال 1394'!M29,'سال 1395'!M29,'سال 1396'!M29,'سال 1397'!M29,'سال 1398'!M29,'سال 1399'!M29,'سال 1400'!M29,'سال 1401'!M29,'سال 1402'!M29,'سال 1403'!M29)</ns0:f>
        <ns0:v>-0.10147058057532225</ns0:v>
      </ns0:c>
    </ns0:row>
    <ns0:row r="103" ht="30" customHeight="1">
      <ns0:c r="A103" s="73" t="inlineStr">
        <ns0:is>
          <ns0:t>روغن و چربی</ns0:t>
        </ns0:is>
      </ns0:c>
      <ns0:c r="B103" s="75">
        <ns0:f>MAX('سال 1392'!B30,'سال 1393'!B30,'سال 1394'!B30,'سال 1395'!B30,'سال 1396'!B30,'سال 1397'!B30,'سال 1398'!B30,'سال 1399'!B30,'سال 1400'!B30,'سال 1401'!B30,'سال 1402'!B30,'سال 1403'!B30)</ns0:f>
        <ns0:v>0.02974756700086581</ns0:v>
      </ns0:c>
      <ns0:c r="C103" s="75">
        <ns0:f>MAX('سال 1392'!C30,'سال 1393'!C30,'سال 1394'!C30,'سال 1395'!C30,'سال 1396'!C30,'سال 1397'!C30,'سال 1398'!C30,'سال 1399'!C30,'سال 1400'!C30,'سال 1401'!C30,'سال 1402'!C30,'سال 1403'!C30)</ns0:f>
        <ns0:v>-0.007530992936286942</ns0:v>
      </ns0:c>
      <ns0:c r="D103" s="75">
        <ns0:f>MAX('سال 1392'!D30,'سال 1393'!D30,'سال 1394'!D30,'سال 1395'!D30,'سال 1396'!D30,'سال 1397'!D30,'سال 1398'!D30,'سال 1399'!D30,'سال 1400'!D30,'سال 1401'!D30,'سال 1402'!D30,'سال 1403'!D30)</ns0:f>
        <ns0:v>-0.16313255800742493</ns0:v>
      </ns0:c>
      <ns0:c r="E103" s="75">
        <ns0:f>MAX('سال 1392'!E30,'سال 1393'!E30,'سال 1394'!E30,'سال 1395'!E30,'سال 1396'!E30,'سال 1397'!E30,'سال 1398'!E30,'سال 1399'!E30,'سال 1400'!E30,'سال 1401'!E30,'سال 1402'!E30,'سال 1403'!E30)</ns0:f>
        <ns0:v>0.14276859428759847</ns0:v>
      </ns0:c>
      <ns0:c r="F103" s="74">
        <ns0:f>MAX('سال 1392'!F30,'سال 1393'!F30,'سال 1394'!F30,'سال 1395'!F30,'سال 1396'!F30,'سال 1397'!F30,'سال 1398'!F30,'سال 1399'!F30,'سال 1400'!F30,'سال 1401'!F30,'سال 1402'!F30,'سال 1403'!F30)</ns0:f>
        <ns0:v>-0.385015207260872</ns0:v>
      </ns0:c>
      <ns0:c r="G103" s="75">
        <ns0:f>MAX('سال 1392'!G30,'سال 1393'!G30,'سال 1394'!G30,'سال 1395'!G30,'سال 1396'!G30,'سال 1397'!G30,'سال 1398'!G30,'سال 1399'!G30,'سال 1400'!G30,'سال 1401'!G30,'سال 1402'!G30,'سال 1403'!G30)</ns0:f>
        <ns0:v>-0.034151888784113515</ns0:v>
      </ns0:c>
      <ns0:c r="H103" s="75">
        <ns0:f>MAX('سال 1392'!H30,'سال 1393'!H30,'سال 1394'!H30,'سال 1395'!H30,'سال 1396'!H30,'سال 1397'!H30,'سال 1398'!H30,'سال 1399'!H30,'سال 1400'!H30,'سال 1401'!H30,'سال 1402'!H30,'سال 1403'!H30)</ns0:f>
        <ns0:v>-0.0482260778984471</ns0:v>
      </ns0:c>
      <ns0:c r="I103" s="75">
        <ns0:f>MAX('سال 1392'!I30,'سال 1393'!I30,'سال 1394'!I30,'سال 1395'!I30,'سال 1396'!I30,'سال 1397'!I30,'سال 1398'!I30,'سال 1399'!I30,'سال 1400'!I30,'سال 1401'!I30,'سال 1402'!I30,'سال 1403'!I30)</ns0:f>
        <ns0:v>-0.09357913618684525</ns0:v>
      </ns0:c>
      <ns0:c r="J103" s="75">
        <ns0:f>MAX('سال 1392'!J30,'سال 1393'!J30,'سال 1394'!J30,'سال 1395'!J30,'سال 1396'!J30,'سال 1397'!J30,'سال 1398'!J30,'سال 1399'!J30,'سال 1400'!J30,'سال 1401'!J30,'سال 1402'!J30,'سال 1403'!J30)</ns0:f>
        <ns0:v>0.07204898104969444</ns0:v>
      </ns0:c>
      <ns0:c r="K103" s="75">
        <ns0:f>MAX('سال 1392'!K30,'سال 1393'!K30,'سال 1394'!K30,'سال 1395'!K30,'سال 1396'!K30,'سال 1397'!K30,'سال 1398'!K30,'سال 1399'!K30,'سال 1400'!K30,'سال 1401'!K30,'سال 1402'!K30,'سال 1403'!K30)</ns0:f>
        <ns0:v>-0.007493928968577789</ns0:v>
      </ns0:c>
      <ns0:c r="L103" s="75">
        <ns0:f>MAX('سال 1392'!L30,'سال 1393'!L30,'سال 1394'!L30,'سال 1395'!L30,'سال 1396'!L30,'سال 1397'!L30,'سال 1398'!L30,'سال 1399'!L30,'سال 1400'!L30,'سال 1401'!L30,'سال 1402'!L30,'سال 1403'!L30)</ns0:f>
        <ns0:v>-0.062187806168241974</ns0:v>
      </ns0:c>
      <ns0:c r="M103" s="75">
        <ns0:f>MAX('سال 1392'!M30,'سال 1393'!M30,'سال 1394'!M30,'سال 1395'!M30,'سال 1396'!M30,'سال 1397'!M30,'سال 1398'!M30,'سال 1399'!M30,'سال 1400'!M30,'سال 1401'!M30,'سال 1402'!M30,'سال 1403'!M30)</ns0:f>
        <ns0:v>0.0023717925025273936</ns0:v>
      </ns0:c>
    </ns0:row>
    <ns0:row r="104" ht="30" customHeight="1">
      <ns0:c r="A104" s="73" t="inlineStr">
        <ns0:is>
          <ns0:t>میوه</ns0:t>
        </ns0:is>
      </ns0:c>
      <ns0:c r="B104" s="75">
        <ns0:f>MAX('سال 1392'!B31,'سال 1393'!B31,'سال 1394'!B31,'سال 1395'!B31,'سال 1396'!B31,'سال 1397'!B31,'سال 1398'!B31,'سال 1399'!B31,'سال 1400'!B31,'سال 1401'!B31,'سال 1402'!B31,'سال 1403'!B31)</ns0:f>
        <ns0:v>-0.15221453383880895</ns0:v>
      </ns0:c>
      <ns0:c r="C104" s="75">
        <ns0:f>MAX('سال 1392'!C31,'سال 1393'!C31,'سال 1394'!C31,'سال 1395'!C31,'سال 1396'!C31,'سال 1397'!C31,'سال 1398'!C31,'سال 1399'!C31,'سال 1400'!C31,'سال 1401'!C31,'سال 1402'!C31,'سال 1403'!C31)</ns0:f>
        <ns0:v>0.013532130670985833</ns0:v>
      </ns0:c>
      <ns0:c r="D104" s="75">
        <ns0:f>MAX('سال 1392'!D31,'سال 1393'!D31,'سال 1394'!D31,'سال 1395'!D31,'سال 1396'!D31,'سال 1397'!D31,'سال 1398'!D31,'سال 1399'!D31,'سال 1400'!D31,'سال 1401'!D31,'سال 1402'!D31,'سال 1403'!D31)</ns0:f>
        <ns0:v>0.007803711386769339</ns0:v>
      </ns0:c>
      <ns0:c r="E104" s="75">
        <ns0:f>MAX('سال 1392'!E31,'سال 1393'!E31,'سال 1394'!E31,'سال 1395'!E31,'سال 1396'!E31,'سال 1397'!E31,'سال 1398'!E31,'سال 1399'!E31,'سال 1400'!E31,'سال 1401'!E31,'سال 1402'!E31,'سال 1403'!E31)</ns0:f>
        <ns0:v>0.060918146138919396</ns0:v>
      </ns0:c>
      <ns0:c r="F104" s="75">
        <ns0:f>MAX('سال 1392'!F31,'سال 1393'!F31,'سال 1394'!F31,'سال 1395'!F31,'سال 1396'!F31,'سال 1397'!F31,'سال 1398'!F31,'سال 1399'!F31,'سال 1400'!F31,'سال 1401'!F31,'سال 1402'!F31,'سال 1403'!F31)</ns0:f>
        <ns0:v>-0.07658834588039641</ns0:v>
      </ns0:c>
      <ns0:c r="G104" s="74">
        <ns0:f>MAX('سال 1392'!G31,'سال 1393'!G31,'سال 1394'!G31,'سال 1395'!G31,'سال 1396'!G31,'سال 1397'!G31,'سال 1398'!G31,'سال 1399'!G31,'سال 1400'!G31,'سال 1401'!G31,'سال 1402'!G31,'سال 1403'!G31)</ns0:f>
        <ns0:v>-1.0188433223577942</ns0:v>
      </ns0:c>
      <ns0:c r="H104" s="75">
        <ns0:f>MAX('سال 1392'!H31,'سال 1393'!H31,'سال 1394'!H31,'سال 1395'!H31,'سال 1396'!H31,'سال 1397'!H31,'سال 1398'!H31,'سال 1399'!H31,'سال 1400'!H31,'سال 1401'!H31,'سال 1402'!H31,'سال 1403'!H31)</ns0:f>
        <ns0:v>0.13323940749695723</ns0:v>
      </ns0:c>
      <ns0:c r="I104" s="75">
        <ns0:f>MAX('سال 1392'!I31,'سال 1393'!I31,'سال 1394'!I31,'سال 1395'!I31,'سال 1396'!I31,'سال 1397'!I31,'سال 1398'!I31,'سال 1399'!I31,'سال 1400'!I31,'سال 1401'!I31,'سال 1402'!I31,'سال 1403'!I31)</ns0:f>
        <ns0:v>-0.035261318834361545</ns0:v>
      </ns0:c>
      <ns0:c r="J104" s="75">
        <ns0:f>MAX('سال 1392'!J31,'سال 1393'!J31,'سال 1394'!J31,'سال 1395'!J31,'سال 1396'!J31,'سال 1397'!J31,'سال 1398'!J31,'سال 1399'!J31,'سال 1400'!J31,'سال 1401'!J31,'سال 1402'!J31,'سال 1403'!J31)</ns0:f>
        <ns0:v>-0.18501990012601283</ns0:v>
      </ns0:c>
      <ns0:c r="K104" s="75">
        <ns0:f>MAX('سال 1392'!K31,'سال 1393'!K31,'سال 1394'!K31,'سال 1395'!K31,'سال 1396'!K31,'سال 1397'!K31,'سال 1398'!K31,'سال 1399'!K31,'سال 1400'!K31,'سال 1401'!K31,'سال 1402'!K31,'سال 1403'!K31)</ns0:f>
        <ns0:v>0.06640770399553324</ns0:v>
      </ns0:c>
      <ns0:c r="L104" s="75">
        <ns0:f>MAX('سال 1392'!L31,'سال 1393'!L31,'سال 1394'!L31,'سال 1395'!L31,'سال 1396'!L31,'سال 1397'!L31,'سال 1398'!L31,'سال 1399'!L31,'سال 1400'!L31,'سال 1401'!L31,'سال 1402'!L31,'سال 1403'!L31)</ns0:f>
        <ns0:v>-0.02789093995740372</ns0:v>
      </ns0:c>
      <ns0:c r="M104" s="75">
        <ns0:f>MAX('سال 1392'!M31,'سال 1393'!M31,'سال 1394'!M31,'سال 1395'!M31,'سال 1396'!M31,'سال 1397'!M31,'سال 1398'!M31,'سال 1399'!M31,'سال 1400'!M31,'سال 1401'!M31,'سال 1402'!M31,'سال 1403'!M31)</ns0:f>
        <ns0:v>0.03660949414031077</ns0:v>
      </ns0:c>
    </ns0:row>
    <ns0:row r="105" ht="30" customHeight="1">
      <ns0:c r="A105" s="73" t="inlineStr">
        <ns0:is>
          <ns0:t>سبزیجات و سیب‌زمینی</ns0:t>
        </ns0:is>
      </ns0:c>
      <ns0:c r="B105" s="75">
        <ns0:f>MAX('سال 1392'!B32,'سال 1393'!B32,'سال 1394'!B32,'سال 1395'!B32,'سال 1396'!B32,'سال 1397'!B32,'سال 1398'!B32,'سال 1399'!B32,'سال 1400'!B32,'سال 1401'!B32,'سال 1402'!B32,'سال 1403'!B32)</ns0:f>
        <ns0:v>-0.008444236223281042</ns0:v>
      </ns0:c>
      <ns0:c r="C105" s="75">
        <ns0:f>MAX('سال 1392'!C32,'سال 1393'!C32,'سال 1394'!C32,'سال 1395'!C32,'سال 1396'!C32,'سال 1397'!C32,'سال 1398'!C32,'سال 1399'!C32,'سال 1400'!C32,'سال 1401'!C32,'سال 1402'!C32,'سال 1403'!C32)</ns0:f>
        <ns0:v>-0.11810884797085237</ns0:v>
      </ns0:c>
      <ns0:c r="D105" s="75">
        <ns0:f>MAX('سال 1392'!D32,'سال 1393'!D32,'سال 1394'!D32,'سال 1395'!D32,'سال 1396'!D32,'سال 1397'!D32,'سال 1398'!D32,'سال 1399'!D32,'سال 1400'!D32,'سال 1401'!D32,'سال 1402'!D32,'سال 1403'!D32)</ns0:f>
        <ns0:v>-0.05472594367652545</ns0:v>
      </ns0:c>
      <ns0:c r="E105" s="75">
        <ns0:f>MAX('سال 1392'!E32,'سال 1393'!E32,'سال 1394'!E32,'سال 1395'!E32,'سال 1396'!E32,'سال 1397'!E32,'سال 1398'!E32,'سال 1399'!E32,'سال 1400'!E32,'سال 1401'!E32,'سال 1402'!E32,'سال 1403'!E32)</ns0:f>
        <ns0:v>-0.12253709326617444</ns0:v>
      </ns0:c>
      <ns0:c r="F105" s="75">
        <ns0:f>MAX('سال 1392'!F32,'سال 1393'!F32,'سال 1394'!F32,'سال 1395'!F32,'سال 1396'!F32,'سال 1397'!F32,'سال 1398'!F32,'سال 1399'!F32,'سال 1400'!F32,'سال 1401'!F32,'سال 1402'!F32,'سال 1403'!F32)</ns0:f>
        <ns0:v>0.004655622060266226</ns0:v>
      </ns0:c>
      <ns0:c r="G105" s="75">
        <ns0:f>MAX('سال 1392'!G32,'سال 1393'!G32,'سال 1394'!G32,'سال 1395'!G32,'سال 1396'!G32,'سال 1397'!G32,'سال 1398'!G32,'سال 1399'!G32,'سال 1400'!G32,'سال 1401'!G32,'سال 1402'!G32,'سال 1403'!G32)</ns0:f>
        <ns0:v>0.06322493541641001</ns0:v>
      </ns0:c>
      <ns0:c r="H105" s="74">
        <ns0:f>MAX('سال 1392'!H32,'سال 1393'!H32,'سال 1394'!H32,'سال 1395'!H32,'سال 1396'!H32,'سال 1397'!H32,'سال 1398'!H32,'سال 1399'!H32,'سال 1400'!H32,'سال 1401'!H32,'سال 1402'!H32,'سال 1403'!H32)</ns0:f>
        <ns0:v>-0.34463100568615035</ns0:v>
      </ns0:c>
      <ns0:c r="I105" s="75">
        <ns0:f>MAX('سال 1392'!I32,'سال 1393'!I32,'سال 1394'!I32,'سال 1395'!I32,'سال 1396'!I32,'سال 1397'!I32,'سال 1398'!I32,'سال 1399'!I32,'سال 1400'!I32,'سال 1401'!I32,'سال 1402'!I32,'سال 1403'!I32)</ns0:f>
        <ns0:v>0.004746792349491958</ns0:v>
      </ns0:c>
      <ns0:c r="J105" s="75">
        <ns0:f>MAX('سال 1392'!J32,'سال 1393'!J32,'سال 1394'!J32,'سال 1395'!J32,'سال 1396'!J32,'سال 1397'!J32,'سال 1398'!J32,'سال 1399'!J32,'سال 1400'!J32,'سال 1401'!J32,'سال 1402'!J32,'سال 1403'!J32)</ns0:f>
        <ns0:v>0.017525848727297854</ns0:v>
      </ns0:c>
      <ns0:c r="K105" s="75">
        <ns0:f>MAX('سال 1392'!K32,'سال 1393'!K32,'سال 1394'!K32,'سال 1395'!K32,'سال 1396'!K32,'سال 1397'!K32,'سال 1398'!K32,'سال 1399'!K32,'سال 1400'!K32,'سال 1401'!K32,'سال 1402'!K32,'سال 1403'!K32)</ns0:f>
        <ns0:v>-0.0642366633813008</ns0:v>
      </ns0:c>
      <ns0:c r="L105" s="75">
        <ns0:f>MAX('سال 1392'!L32,'سال 1393'!L32,'سال 1394'!L32,'سال 1395'!L32,'سال 1396'!L32,'سال 1397'!L32,'سال 1398'!L32,'سال 1399'!L32,'سال 1400'!L32,'سال 1401'!L32,'سال 1402'!L32,'سال 1403'!L32)</ns0:f>
        <ns0:v>0.0746050896579706</ns0:v>
      </ns0:c>
      <ns0:c r="M105" s="75">
        <ns0:f>MAX('سال 1392'!M32,'سال 1393'!M32,'سال 1394'!M32,'سال 1395'!M32,'سال 1396'!M32,'سال 1397'!M32,'سال 1398'!M32,'سال 1399'!M32,'سال 1400'!M32,'سال 1401'!M32,'سال 1402'!M32,'سال 1403'!M32)</ns0:f>
        <ns0:v>-0.011733577890360702</ns0:v>
      </ns0:c>
    </ns0:row>
    <ns0:row r="106" ht="30" customHeight="1">
      <ns0:c r="A106" s="73" t="inlineStr">
        <ns0:is>
          <ns0:t>حبوبات</ns0:t>
        </ns0:is>
      </ns0:c>
      <ns0:c r="B106" s="75">
        <ns0:f>MAX('سال 1392'!B33,'سال 1393'!B33,'سال 1394'!B33,'سال 1395'!B33,'سال 1396'!B33,'سال 1397'!B33,'سال 1398'!B33,'سال 1399'!B33,'سال 1400'!B33,'سال 1401'!B33,'سال 1402'!B33,'سال 1403'!B33)</ns0:f>
        <ns0:v>-0.058354434608226584</ns0:v>
      </ns0:c>
      <ns0:c r="C106" s="75">
        <ns0:f>MAX('سال 1392'!C33,'سال 1393'!C33,'سال 1394'!C33,'سال 1395'!C33,'سال 1396'!C33,'سال 1397'!C33,'سال 1398'!C33,'سال 1399'!C33,'سال 1400'!C33,'سال 1401'!C33,'سال 1402'!C33,'سال 1403'!C33)</ns0:f>
        <ns0:v>0.048659040536561705</ns0:v>
      </ns0:c>
      <ns0:c r="D106" s="75">
        <ns0:f>MAX('سال 1392'!D33,'سال 1393'!D33,'سال 1394'!D33,'سال 1395'!D33,'سال 1396'!D33,'سال 1397'!D33,'سال 1398'!D33,'سال 1399'!D33,'سال 1400'!D33,'سال 1401'!D33,'سال 1402'!D33,'سال 1403'!D33)</ns0:f>
        <ns0:v>0.05563019828021936</ns0:v>
      </ns0:c>
      <ns0:c r="E106" s="75">
        <ns0:f>MAX('سال 1392'!E33,'سال 1393'!E33,'سال 1394'!E33,'سال 1395'!E33,'سال 1396'!E33,'سال 1397'!E33,'سال 1398'!E33,'سال 1399'!E33,'سال 1400'!E33,'سال 1401'!E33,'سال 1402'!E33,'سال 1403'!E33)</ns0:f>
        <ns0:v>0.27326608812245773</ns0:v>
      </ns0:c>
      <ns0:c r="F106" s="75">
        <ns0:f>MAX('سال 1392'!F33,'سال 1393'!F33,'سال 1394'!F33,'سال 1395'!F33,'سال 1396'!F33,'سال 1397'!F33,'سال 1398'!F33,'سال 1399'!F33,'سال 1400'!F33,'سال 1401'!F33,'سال 1402'!F33,'سال 1403'!F33)</ns0:f>
        <ns0:v>-0.09198822093971014</ns0:v>
      </ns0:c>
      <ns0:c r="G106" s="75">
        <ns0:f>MAX('سال 1392'!G33,'سال 1393'!G33,'سال 1394'!G33,'سال 1395'!G33,'سال 1396'!G33,'سال 1397'!G33,'سال 1398'!G33,'سال 1399'!G33,'سال 1400'!G33,'سال 1401'!G33,'سال 1402'!G33,'سال 1403'!G33)</ns0:f>
        <ns0:v>-0.04867036500530243</ns0:v>
      </ns0:c>
      <ns0:c r="H106" s="75">
        <ns0:f>MAX('سال 1392'!H33,'سال 1393'!H33,'سال 1394'!H33,'سال 1395'!H33,'سال 1396'!H33,'سال 1397'!H33,'سال 1398'!H33,'سال 1399'!H33,'سال 1400'!H33,'سال 1401'!H33,'سال 1402'!H33,'سال 1403'!H33)</ns0:f>
        <ns0:v>-0.10591966165735495</ns0:v>
      </ns0:c>
      <ns0:c r="I106" s="74">
        <ns0:f>MAX('سال 1392'!I33,'سال 1393'!I33,'سال 1394'!I33,'سال 1395'!I33,'سال 1396'!I33,'سال 1397'!I33,'سال 1398'!I33,'سال 1399'!I33,'سال 1400'!I33,'سال 1401'!I33,'سال 1402'!I33,'سال 1403'!I33)</ns0:f>
        <ns0:v>-0.6743039735132926</ns0:v>
      </ns0:c>
      <ns0:c r="J106" s="75">
        <ns0:f>MAX('سال 1392'!J33,'سال 1393'!J33,'سال 1394'!J33,'سال 1395'!J33,'سال 1396'!J33,'سال 1397'!J33,'سال 1398'!J33,'سال 1399'!J33,'سال 1400'!J33,'سال 1401'!J33,'سال 1402'!J33,'سال 1403'!J33)</ns0:f>
        <ns0:v>-0.11571214691188918</ns0:v>
      </ns0:c>
      <ns0:c r="K106" s="75">
        <ns0:f>MAX('سال 1392'!K33,'سال 1393'!K33,'سال 1394'!K33,'سال 1395'!K33,'سال 1396'!K33,'سال 1397'!K33,'سال 1398'!K33,'سال 1399'!K33,'سال 1400'!K33,'سال 1401'!K33,'سال 1402'!K33,'سال 1403'!K33)</ns0:f>
        <ns0:v>-0.14956206108938264</ns0:v>
      </ns0:c>
      <ns0:c r="L106" s="75">
        <ns0:f>MAX('سال 1392'!L33,'سال 1393'!L33,'سال 1394'!L33,'سال 1395'!L33,'سال 1396'!L33,'سال 1397'!L33,'سال 1398'!L33,'سال 1399'!L33,'سال 1400'!L33,'سال 1401'!L33,'سال 1402'!L33,'سال 1403'!L33)</ns0:f>
        <ns0:v>0.03790724088077973</ns0:v>
      </ns0:c>
      <ns0:c r="M106" s="75">
        <ns0:f>MAX('سال 1392'!M33,'سال 1393'!M33,'سال 1394'!M33,'سال 1395'!M33,'سال 1396'!M33,'سال 1397'!M33,'سال 1398'!M33,'سال 1399'!M33,'سال 1400'!M33,'سال 1401'!M33,'سال 1402'!M33,'سال 1403'!M33)</ns0:f>
        <ns0:v>0.008520343164955023</ns0:v>
      </ns0:c>
    </ns0:row>
    <ns0:row r="107" ht="30" customHeight="1">
      <ns0:c r="A107" s="73" t="inlineStr">
        <ns0:is>
          <ns0:t>مغزها، خشکبار و خرما</ns0:t>
        </ns0:is>
      </ns0:c>
      <ns0:c r="B107" s="75">
        <ns0:f>MAX('سال 1392'!B34,'سال 1393'!B34,'سال 1394'!B34,'سال 1395'!B34,'سال 1396'!B34,'سال 1397'!B34,'سال 1398'!B34,'سال 1399'!B34,'سال 1400'!B34,'سال 1401'!B34,'سال 1402'!B34,'سال 1403'!B34)</ns0:f>
        <ns0:v>-0.14130998788376992</ns0:v>
      </ns0:c>
      <ns0:c r="C107" s="75">
        <ns0:f>MAX('سال 1392'!C34,'سال 1393'!C34,'سال 1394'!C34,'سال 1395'!C34,'سال 1396'!C34,'سال 1397'!C34,'سال 1398'!C34,'سال 1399'!C34,'سال 1400'!C34,'سال 1401'!C34,'سال 1402'!C34,'سال 1403'!C34)</ns0:f>
        <ns0:v>-0.04216126046979938</ns0:v>
      </ns0:c>
      <ns0:c r="D107" s="75">
        <ns0:f>MAX('سال 1392'!D34,'سال 1393'!D34,'سال 1394'!D34,'سال 1395'!D34,'سال 1396'!D34,'سال 1397'!D34,'سال 1398'!D34,'سال 1399'!D34,'سال 1400'!D34,'سال 1401'!D34,'سال 1402'!D34,'سال 1403'!D34)</ns0:f>
        <ns0:v>-0.34908103086940484</ns0:v>
      </ns0:c>
      <ns0:c r="E107" s="75">
        <ns0:f>MAX('سال 1392'!E34,'سال 1393'!E34,'سال 1394'!E34,'سال 1395'!E34,'سال 1396'!E34,'سال 1397'!E34,'سال 1398'!E34,'سال 1399'!E34,'سال 1400'!E34,'سال 1401'!E34,'سال 1402'!E34,'سال 1403'!E34)</ns0:f>
        <ns0:v>0.11328259567109293</ns0:v>
      </ns0:c>
      <ns0:c r="F107" s="75">
        <ns0:f>MAX('سال 1392'!F34,'سال 1393'!F34,'سال 1394'!F34,'سال 1395'!F34,'سال 1396'!F34,'سال 1397'!F34,'سال 1398'!F34,'سال 1399'!F34,'سال 1400'!F34,'سال 1401'!F34,'سال 1402'!F34,'سال 1403'!F34)</ns0:f>
        <ns0:v>0.006407404960138251</ns0:v>
      </ns0:c>
      <ns0:c r="G107" s="75">
        <ns0:f>MAX('سال 1392'!G34,'سال 1393'!G34,'سال 1394'!G34,'سال 1395'!G34,'سال 1396'!G34,'سال 1397'!G34,'سال 1398'!G34,'سال 1399'!G34,'سال 1400'!G34,'سال 1401'!G34,'سال 1402'!G34,'سال 1403'!G34)</ns0:f>
        <ns0:v>-0.20207715560286124</ns0:v>
      </ns0:c>
      <ns0:c r="H107" s="75">
        <ns0:f>MAX('سال 1392'!H34,'سال 1393'!H34,'سال 1394'!H34,'سال 1395'!H34,'سال 1396'!H34,'سال 1397'!H34,'سال 1398'!H34,'سال 1399'!H34,'سال 1400'!H34,'سال 1401'!H34,'سال 1402'!H34,'سال 1403'!H34)</ns0:f>
        <ns0:v>-0.12182587937614171</ns0:v>
      </ns0:c>
      <ns0:c r="I107" s="75">
        <ns0:f>MAX('سال 1392'!I34,'سال 1393'!I34,'سال 1394'!I34,'سال 1395'!I34,'سال 1396'!I34,'سال 1397'!I34,'سال 1398'!I34,'سال 1399'!I34,'سال 1400'!I34,'سال 1401'!I34,'سال 1402'!I34,'سال 1403'!I34)</ns0:f>
        <ns0:v>-0.13430966790385115</ns0:v>
      </ns0:c>
      <ns0:c r="J107" s="74">
        <ns0:f>MAX('سال 1392'!J34,'سال 1393'!J34,'سال 1394'!J34,'سال 1395'!J34,'سال 1396'!J34,'سال 1397'!J34,'سال 1398'!J34,'سال 1399'!J34,'سال 1400'!J34,'سال 1401'!J34,'سال 1402'!J34,'سال 1403'!J34)</ns0:f>
        <ns0:v>-0.9186877519630806</ns0:v>
      </ns0:c>
      <ns0:c r="K107" s="75">
        <ns0:f>MAX('سال 1392'!K34,'سال 1393'!K34,'سال 1394'!K34,'سال 1395'!K34,'سال 1396'!K34,'سال 1397'!K34,'سال 1398'!K34,'سال 1399'!K34,'سال 1400'!K34,'سال 1401'!K34,'سال 1402'!K34,'سال 1403'!K34)</ns0:f>
        <ns0:v>-0.09039904440995984</ns0:v>
      </ns0:c>
      <ns0:c r="L107" s="75">
        <ns0:f>MAX('سال 1392'!L34,'سال 1393'!L34,'سال 1394'!L34,'سال 1395'!L34,'سال 1396'!L34,'سال 1397'!L34,'سال 1398'!L34,'سال 1399'!L34,'سال 1400'!L34,'سال 1401'!L34,'سال 1402'!L34,'سال 1403'!L34)</ns0:f>
        <ns0:v>-0.16892531236879726</ns0:v>
      </ns0:c>
      <ns0:c r="M107" s="75">
        <ns0:f>MAX('سال 1392'!M34,'سال 1393'!M34,'سال 1394'!M34,'سال 1395'!M34,'سال 1396'!M34,'سال 1397'!M34,'سال 1398'!M34,'سال 1399'!M34,'سال 1400'!M34,'سال 1401'!M34,'سال 1402'!M34,'سال 1403'!M34)</ns0:f>
        <ns0:v>0.1027756087692545</ns0:v>
      </ns0:c>
    </ns0:row>
    <ns0:row r="108" ht="30" customHeight="1">
      <ns0:c r="A108" s="73" t="inlineStr">
        <ns0:is>
          <ns0:t>قند، شیرینی و تنقلات</ns0:t>
        </ns0:is>
      </ns0:c>
      <ns0:c r="B108" s="75">
        <ns0:f>MAX('سال 1392'!B35,'سال 1393'!B35,'سال 1394'!B35,'سال 1395'!B35,'سال 1396'!B35,'سال 1397'!B35,'سال 1398'!B35,'سال 1399'!B35,'سال 1400'!B35,'سال 1401'!B35,'سال 1402'!B35,'سال 1403'!B35)</ns0:f>
        <ns0:v>-0.11349341775667528</ns0:v>
      </ns0:c>
      <ns0:c r="C108" s="75">
        <ns0:f>MAX('سال 1392'!C35,'سال 1393'!C35,'سال 1394'!C35,'سال 1395'!C35,'سال 1396'!C35,'سال 1397'!C35,'سال 1398'!C35,'سال 1399'!C35,'سال 1400'!C35,'سال 1401'!C35,'سال 1402'!C35,'سال 1403'!C35)</ns0:f>
        <ns0:v>-0.04832747027343513</ns0:v>
      </ns0:c>
      <ns0:c r="D108" s="75">
        <ns0:f>MAX('سال 1392'!D35,'سال 1393'!D35,'سال 1394'!D35,'سال 1395'!D35,'سال 1396'!D35,'سال 1397'!D35,'سال 1398'!D35,'سال 1399'!D35,'سال 1400'!D35,'سال 1401'!D35,'سال 1402'!D35,'سال 1403'!D35)</ns0:f>
        <ns0:v>0.023105247761896278</ns0:v>
      </ns0:c>
      <ns0:c r="E108" s="75">
        <ns0:f>MAX('سال 1392'!E35,'سال 1393'!E35,'سال 1394'!E35,'سال 1395'!E35,'سال 1396'!E35,'سال 1397'!E35,'سال 1398'!E35,'سال 1399'!E35,'سال 1400'!E35,'سال 1401'!E35,'سال 1402'!E35,'سال 1403'!E35)</ns0:f>
        <ns0:v>-0.1059236564987761</ns0:v>
      </ns0:c>
      <ns0:c r="F108" s="75">
        <ns0:f>MAX('سال 1392'!F35,'سال 1393'!F35,'سال 1394'!F35,'سال 1395'!F35,'سال 1396'!F35,'سال 1397'!F35,'سال 1398'!F35,'سال 1399'!F35,'سال 1400'!F35,'سال 1401'!F35,'سال 1402'!F35,'سال 1403'!F35)</ns0:f>
        <ns0:v>-0.014325855538580599</ns0:v>
      </ns0:c>
      <ns0:c r="G108" s="75">
        <ns0:f>MAX('سال 1392'!G35,'سال 1393'!G35,'سال 1394'!G35,'سال 1395'!G35,'سال 1396'!G35,'سال 1397'!G35,'سال 1398'!G35,'سال 1399'!G35,'سال 1400'!G35,'سال 1401'!G35,'سال 1402'!G35,'سال 1403'!G35)</ns0:f>
        <ns0:v>0.056881303017840314</ns0:v>
      </ns0:c>
      <ns0:c r="H108" s="75">
        <ns0:f>MAX('سال 1392'!H35,'سال 1393'!H35,'سال 1394'!H35,'سال 1395'!H35,'سال 1396'!H35,'سال 1397'!H35,'سال 1398'!H35,'سال 1399'!H35,'سال 1400'!H35,'سال 1401'!H35,'سال 1402'!H35,'سال 1403'!H35)</ns0:f>
        <ns0:v>-0.09981050069804631</ns0:v>
      </ns0:c>
      <ns0:c r="I108" s="75">
        <ns0:f>MAX('سال 1392'!I35,'سال 1393'!I35,'سال 1394'!I35,'سال 1395'!I35,'سال 1396'!I35,'سال 1397'!I35,'سال 1398'!I35,'سال 1399'!I35,'سال 1400'!I35,'سال 1401'!I35,'سال 1402'!I35,'سال 1403'!I35)</ns0:f>
        <ns0:v>-0.04084666172591707</ns0:v>
      </ns0:c>
      <ns0:c r="J108" s="75">
        <ns0:f>MAX('سال 1392'!J35,'سال 1393'!J35,'سال 1394'!J35,'سال 1395'!J35,'سال 1396'!J35,'سال 1397'!J35,'سال 1398'!J35,'سال 1399'!J35,'سال 1400'!J35,'سال 1401'!J35,'سال 1402'!J35,'سال 1403'!J35)</ns0:f>
        <ns0:v>-0.01817046014908142</ns0:v>
      </ns0:c>
      <ns0:c r="K108" s="74">
        <ns0:f>MAX('سال 1392'!K35,'سال 1393'!K35,'سال 1394'!K35,'سال 1395'!K35,'سال 1396'!K35,'سال 1397'!K35,'سال 1398'!K35,'سال 1399'!K35,'سال 1400'!K35,'سال 1401'!K35,'سال 1402'!K35,'سال 1403'!K35)</ns0:f>
        <ns0:v>-0.48126165523908837</ns0:v>
      </ns0:c>
      <ns0:c r="L108" s="75">
        <ns0:f>MAX('سال 1392'!L35,'سال 1393'!L35,'سال 1394'!L35,'سال 1395'!L35,'سال 1396'!L35,'سال 1397'!L35,'سال 1398'!L35,'سال 1399'!L35,'سال 1400'!L35,'سال 1401'!L35,'سال 1402'!L35,'سال 1403'!L35)</ns0:f>
        <ns0:v>-0.052407178815131926</ns0:v>
      </ns0:c>
      <ns0:c r="M108" s="75">
        <ns0:f>MAX('سال 1392'!M35,'سال 1393'!M35,'سال 1394'!M35,'سال 1395'!M35,'سال 1396'!M35,'سال 1397'!M35,'سال 1398'!M35,'سال 1399'!M35,'سال 1400'!M35,'سال 1401'!M35,'سال 1402'!M35,'سال 1403'!M35)</ns0:f>
        <ns0:v>0.00019155989432260878</ns0:v>
      </ns0:c>
    </ns0:row>
    <ns0:row r="109" ht="30" customHeight="1">
      <ns0:c r="A109" s="73" t="inlineStr">
        <ns0:is>
          <ns0:t>نوشیدنی بدون نوشابه</ns0:t>
        </ns0:is>
      </ns0:c>
      <ns0:c r="B109" s="75">
        <ns0:f>MAX('سال 1392'!B36,'سال 1393'!B36,'سال 1394'!B36,'سال 1395'!B36,'سال 1396'!B36,'سال 1397'!B36,'سال 1398'!B36,'سال 1399'!B36,'سال 1400'!B36,'سال 1401'!B36,'سال 1402'!B36,'سال 1403'!B36)</ns0:f>
        <ns0:v>-0.22099265900318074</ns0:v>
      </ns0:c>
      <ns0:c r="C109" s="75">
        <ns0:f>MAX('سال 1392'!C36,'سال 1393'!C36,'سال 1394'!C36,'سال 1395'!C36,'سال 1396'!C36,'سال 1397'!C36,'سال 1398'!C36,'سال 1399'!C36,'سال 1400'!C36,'سال 1401'!C36,'سال 1402'!C36,'سال 1403'!C36)</ns0:f>
        <ns0:v>0.20052271707926028</ns0:v>
      </ns0:c>
      <ns0:c r="D109" s="75">
        <ns0:f>MAX('سال 1392'!D36,'سال 1393'!D36,'سال 1394'!D36,'سال 1395'!D36,'سال 1396'!D36,'سال 1397'!D36,'سال 1398'!D36,'سال 1399'!D36,'سال 1400'!D36,'سال 1401'!D36,'سال 1402'!D36,'سال 1403'!D36)</ns0:f>
        <ns0:v>-0.055638539799323476</ns0:v>
      </ns0:c>
      <ns0:c r="E109" s="75">
        <ns0:f>MAX('سال 1392'!E36,'سال 1393'!E36,'سال 1394'!E36,'سال 1395'!E36,'سال 1396'!E36,'سال 1397'!E36,'سال 1398'!E36,'سال 1399'!E36,'سال 1400'!E36,'سال 1401'!E36,'سال 1402'!E36,'سال 1403'!E36)</ns0:f>
        <ns0:v>0.31426806305173627</ns0:v>
      </ns0:c>
      <ns0:c r="F109" s="75">
        <ns0:f>MAX('سال 1392'!F36,'سال 1393'!F36,'سال 1394'!F36,'سال 1395'!F36,'سال 1396'!F36,'سال 1397'!F36,'سال 1398'!F36,'سال 1399'!F36,'سال 1400'!F36,'سال 1401'!F36,'سال 1402'!F36,'سال 1403'!F36)</ns0:f>
        <ns0:v>-0.08927034092478671</ns0:v>
      </ns0:c>
      <ns0:c r="G109" s="75">
        <ns0:f>MAX('سال 1392'!G36,'سال 1393'!G36,'سال 1394'!G36,'سال 1395'!G36,'سال 1396'!G36,'سال 1397'!G36,'سال 1398'!G36,'سال 1399'!G36,'سال 1400'!G36,'سال 1401'!G36,'سال 1402'!G36,'سال 1403'!G36)</ns0:f>
        <ns0:v>-0.022493808741289905</ns0:v>
      </ns0:c>
      <ns0:c r="H109" s="75">
        <ns0:f>MAX('سال 1392'!H36,'سال 1393'!H36,'سال 1394'!H36,'سال 1395'!H36,'سال 1396'!H36,'سال 1397'!H36,'سال 1398'!H36,'سال 1399'!H36,'سال 1400'!H36,'سال 1401'!H36,'سال 1402'!H36,'سال 1403'!H36)</ns0:f>
        <ns0:v>0.18481324900038504</ns0:v>
      </ns0:c>
      <ns0:c r="I109" s="75">
        <ns0:f>MAX('سال 1392'!I36,'سال 1393'!I36,'سال 1394'!I36,'سال 1395'!I36,'سال 1396'!I36,'سال 1397'!I36,'سال 1398'!I36,'سال 1399'!I36,'سال 1400'!I36,'سال 1401'!I36,'سال 1402'!I36,'سال 1403'!I36)</ns0:f>
        <ns0:v>0.08970779668209122</ns0:v>
      </ns0:c>
      <ns0:c r="J109" s="75">
        <ns0:f>MAX('سال 1392'!J36,'سال 1393'!J36,'سال 1394'!J36,'سال 1395'!J36,'سال 1396'!J36,'سال 1397'!J36,'سال 1398'!J36,'سال 1399'!J36,'سال 1400'!J36,'سال 1401'!J36,'سال 1402'!J36,'سال 1403'!J36)</ns0:f>
        <ns0:v>-0.1106427488004366</ns0:v>
      </ns0:c>
      <ns0:c r="K109" s="75">
        <ns0:f>MAX('سال 1392'!K36,'سال 1393'!K36,'سال 1394'!K36,'سال 1395'!K36,'سال 1396'!K36,'سال 1397'!K36,'سال 1398'!K36,'سال 1399'!K36,'سال 1400'!K36,'سال 1401'!K36,'سال 1402'!K36,'سال 1403'!K36)</ns0:f>
        <ns0:v>-0.17262543260900926</ns0:v>
      </ns0:c>
      <ns0:c r="L109" s="74">
        <ns0:f>MAX('سال 1392'!L36,'سال 1393'!L36,'سال 1394'!L36,'سال 1395'!L36,'سال 1396'!L36,'سال 1397'!L36,'سال 1398'!L36,'سال 1399'!L36,'سال 1400'!L36,'سال 1401'!L36,'سال 1402'!L36,'سال 1403'!L36)</ns0:f>
        <ns0:v>-0.809502337646282</ns0:v>
      </ns0:c>
      <ns0:c r="M109" s="75">
        <ns0:f>MAX('سال 1392'!M36,'سال 1393'!M36,'سال 1394'!M36,'سال 1395'!M36,'سال 1396'!M36,'سال 1397'!M36,'سال 1398'!M36,'سال 1399'!M36,'سال 1400'!M36,'سال 1401'!M36,'سال 1402'!M36,'سال 1403'!M36)</ns0:f>
        <ns0:v>0.09578751186464701</ns0:v>
      </ns0:c>
    </ns0:row>
    <ns0:row r="110" ht="30" customHeight="1">
      <ns0:c r="A110" s="73" t="inlineStr">
        <ns0:is>
          <ns0:t>ادویه و چاشنی</ns0:t>
        </ns0:is>
      </ns0:c>
      <ns0:c r="B110" s="75">
        <ns0:f>MAX('سال 1392'!B37,'سال 1393'!B37,'سال 1394'!B37,'سال 1395'!B37,'سال 1396'!B37,'سال 1397'!B37,'سال 1398'!B37,'سال 1399'!B37,'سال 1400'!B37,'سال 1401'!B37,'سال 1402'!B37,'سال 1403'!B37)</ns0:f>
        <ns0:v>0.2534511429846237</ns0:v>
      </ns0:c>
      <ns0:c r="C110" s="75">
        <ns0:f>MAX('سال 1392'!C37,'سال 1393'!C37,'سال 1394'!C37,'سال 1395'!C37,'سال 1396'!C37,'سال 1397'!C37,'سال 1398'!C37,'سال 1399'!C37,'سال 1400'!C37,'سال 1401'!C37,'سال 1402'!C37,'سال 1403'!C37)</ns0:f>
        <ns0:v>-0.12743471195261355</ns0:v>
      </ns0:c>
      <ns0:c r="D110" s="75">
        <ns0:f>MAX('سال 1392'!D37,'سال 1393'!D37,'سال 1394'!D37,'سال 1395'!D37,'سال 1396'!D37,'سال 1397'!D37,'سال 1398'!D37,'سال 1399'!D37,'سال 1400'!D37,'سال 1401'!D37,'سال 1402'!D37,'سال 1403'!D37)</ns0:f>
        <ns0:v>-0.1521617295187697</ns0:v>
      </ns0:c>
      <ns0:c r="E110" s="75">
        <ns0:f>MAX('سال 1392'!E37,'سال 1393'!E37,'سال 1394'!E37,'سال 1395'!E37,'سال 1396'!E37,'سال 1397'!E37,'سال 1398'!E37,'سال 1399'!E37,'سال 1400'!E37,'سال 1401'!E37,'سال 1402'!E37,'سال 1403'!E37)</ns0:f>
        <ns0:v>-0.29679848969323896</ns0:v>
      </ns0:c>
      <ns0:c r="F110" s="75">
        <ns0:f>MAX('سال 1392'!F37,'سال 1393'!F37,'سال 1394'!F37,'سال 1395'!F37,'سال 1396'!F37,'سال 1397'!F37,'سال 1398'!F37,'سال 1399'!F37,'سال 1400'!F37,'سال 1401'!F37,'سال 1402'!F37,'سال 1403'!F37)</ns0:f>
        <ns0:v>-0.0456610893423546</ns0:v>
      </ns0:c>
      <ns0:c r="G110" s="75">
        <ns0:f>MAX('سال 1392'!G37,'سال 1393'!G37,'سال 1394'!G37,'سال 1395'!G37,'سال 1396'!G37,'سال 1397'!G37,'سال 1398'!G37,'سال 1399'!G37,'سال 1400'!G37,'سال 1401'!G37,'سال 1402'!G37,'سال 1403'!G37)</ns0:f>
        <ns0:v>0.06843969491759554</ns0:v>
      </ns0:c>
      <ns0:c r="H110" s="75">
        <ns0:f>MAX('سال 1392'!H37,'سال 1393'!H37,'سال 1394'!H37,'سال 1395'!H37,'سال 1396'!H37,'سال 1397'!H37,'سال 1398'!H37,'سال 1399'!H37,'سال 1400'!H37,'سال 1401'!H37,'سال 1402'!H37,'سال 1403'!H37)</ns0:f>
        <ns0:v>-0.10170268541426437</ns0:v>
      </ns0:c>
      <ns0:c r="I110" s="75">
        <ns0:f>MAX('سال 1392'!I37,'سال 1393'!I37,'سال 1394'!I37,'سال 1395'!I37,'سال 1396'!I37,'سال 1397'!I37,'سال 1398'!I37,'سال 1399'!I37,'سال 1400'!I37,'سال 1401'!I37,'سال 1402'!I37,'سال 1403'!I37)</ns0:f>
        <ns0:v>-0.028913313962803833</ns0:v>
      </ns0:c>
      <ns0:c r="J110" s="75">
        <ns0:f>MAX('سال 1392'!J37,'سال 1393'!J37,'سال 1394'!J37,'سال 1395'!J37,'سال 1396'!J37,'سال 1397'!J37,'سال 1398'!J37,'سال 1399'!J37,'سال 1400'!J37,'سال 1401'!J37,'سال 1402'!J37,'سال 1403'!J37)</ns0:f>
        <ns0:v>0.21504890675590516</ns0:v>
      </ns0:c>
      <ns0:c r="K110" s="75">
        <ns0:f>MAX('سال 1392'!K37,'سال 1393'!K37,'سال 1394'!K37,'سال 1395'!K37,'سال 1396'!K37,'سال 1397'!K37,'سال 1398'!K37,'سال 1399'!K37,'سال 1400'!K37,'سال 1401'!K37,'سال 1402'!K37,'سال 1403'!K37)</ns0:f>
        <ns0:v>-0.03651548136287687</ns0:v>
      </ns0:c>
      <ns0:c r="L110" s="75">
        <ns0:f>MAX('سال 1392'!L37,'سال 1393'!L37,'سال 1394'!L37,'سال 1395'!L37,'سال 1396'!L37,'سال 1397'!L37,'سال 1398'!L37,'سال 1399'!L37,'سال 1400'!L37,'سال 1401'!L37,'سال 1402'!L37,'سال 1403'!L37)</ns0:f>
        <ns0:v>0.027276384730322643</ns0:v>
      </ns0:c>
      <ns0:c r="M110" s="74">
        <ns0:f>MAX('سال 1392'!M37,'سال 1393'!M37,'سال 1394'!M37,'سال 1395'!M37,'سال 1396'!M37,'سال 1397'!M37,'سال 1398'!M37,'سال 1399'!M37,'سال 1400'!M37,'سال 1401'!M37,'سال 1402'!M37,'سال 1403'!M37)</ns0:f>
        <ns0:v>-0.36333126818173667</ns0:v>
      </ns0:c>
    </ns0:row>
    <ns0:row r="114" ht="28" customHeight="1">
      <ns0:c r="A114" s="71" t="inlineStr">
        <ns0:is>
          <ns0:t>سالانه • دامنه کشش مارشالی ۱۲×۱۲ | B1</ns0:t>
        </ns0:is>
      </ns0:c>
      <ns0:c r="B114" s="1" t="n"/>
      <ns0:c r="C114" s="1" t="n"/>
      <ns0:c r="D114" s="1" t="n"/>
      <ns0:c r="E114" s="1" t="n"/>
      <ns0:c r="F114" s="1" t="n"/>
      <ns0:c r="G114" s="1" t="n"/>
      <ns0:c r="H114" s="1" t="n"/>
      <ns0:c r="I114" s="1" t="n"/>
      <ns0:c r="J114" s="1" t="n"/>
      <ns0:c r="K114" s="1" t="n"/>
      <ns0:c r="L114" s="1" t="n"/>
      <ns0:c r="M114" s="1" t="n"/>
    </ns0:row>
    <ns0:row r="115" ht="58" customHeight="1">
      <ns0:c r="A115" s="72" t="inlineStr">
        <ns0:is>
          <ns0:t>گروه تقاضا ↓ / گروه قیمت →</ns0:t>
        </ns0:is>
      </ns0:c>
      <ns0:c r="B115" s="72" t="inlineStr">
        <ns0:is>
          <ns0:t>برنج</ns0:t>
        </ns0:is>
      </ns0:c>
      <ns0:c r="C115" s="72" t="inlineStr">
        <ns0:is>
          <ns0:t>نان و غلات</ns0:t>
        </ns0:is>
      </ns0:c>
      <ns0:c r="D115" s="72" t="inlineStr">
        <ns0:is>
          <ns0:t>گوشت</ns0:t>
        </ns0:is>
      </ns0:c>
      <ns0:c r="E115" s="72" t="inlineStr">
        <ns0:is>
          <ns0:t>لبنیات و تخم‌مرغ</ns0:t>
        </ns0:is>
      </ns0:c>
      <ns0:c r="F115" s="72" t="inlineStr">
        <ns0:is>
          <ns0:t>روغن و چربی</ns0:t>
        </ns0:is>
      </ns0:c>
      <ns0:c r="G115" s="72" t="inlineStr">
        <ns0:is>
          <ns0:t>میوه</ns0:t>
        </ns0:is>
      </ns0:c>
      <ns0:c r="H115" s="72" t="inlineStr">
        <ns0:is>
          <ns0:t>سبزیجات و سیب‌زمینی</ns0:t>
        </ns0:is>
      </ns0:c>
      <ns0:c r="I115" s="72" t="inlineStr">
        <ns0:is>
          <ns0:t>حبوبات</ns0:t>
        </ns0:is>
      </ns0:c>
      <ns0:c r="J115" s="72" t="inlineStr">
        <ns0:is>
          <ns0:t>مغزها، خشکبار و خرما</ns0:t>
        </ns0:is>
      </ns0:c>
      <ns0:c r="K115" s="72" t="inlineStr">
        <ns0:is>
          <ns0:t>قند، شیرینی و تنقلات</ns0:t>
        </ns0:is>
      </ns0:c>
      <ns0:c r="L115" s="72" t="inlineStr">
        <ns0:is>
          <ns0:t>نوشیدنی بدون نوشابه</ns0:t>
        </ns0:is>
      </ns0:c>
      <ns0:c r="M115" s="72" t="inlineStr">
        <ns0:is>
          <ns0:t>ادویه و چاشنی</ns0:t>
        </ns0:is>
      </ns0:c>
    </ns0:row>
    <ns0:row r="116" ht="30" customHeight="1">
      <ns0:c r="A116" s="73" t="inlineStr">
        <ns0:is>
          <ns0:t>برنج</ns0:t>
        </ns0:is>
      </ns0:c>
      <ns0:c r="B116" s="74">
        <ns0:f>MAX('سال 1392'!B26,'سال 1393'!B26,'سال 1394'!B26,'سال 1395'!B26,'سال 1396'!B26,'سال 1397'!B26,'سال 1398'!B26,'سال 1399'!B26,'سال 1400'!B26,'سال 1401'!B26,'سال 1402'!B26,'سال 1403'!B26)-MIN('سال 1392'!B26,'سال 1393'!B26,'سال 1394'!B26,'سال 1395'!B26,'سال 1396'!B26,'سال 1397'!B26,'سال 1398'!B26,'سال 1399'!B26,'سال 1400'!B26,'سال 1401'!B26,'سال 1402'!B26,'سال 1403'!B26)</ns0:f>
        <ns0:v>0.008550059177889757</ns0:v>
      </ns0:c>
      <ns0:c r="C116" s="75">
        <ns0:f>MAX('سال 1392'!C26,'سال 1393'!C26,'سال 1394'!C26,'سال 1395'!C26,'سال 1396'!C26,'سال 1397'!C26,'سال 1398'!C26,'سال 1399'!C26,'سال 1400'!C26,'سال 1401'!C26,'سال 1402'!C26,'سال 1403'!C26)-MIN('سال 1392'!C26,'سال 1393'!C26,'سال 1394'!C26,'سال 1395'!C26,'سال 1396'!C26,'سال 1397'!C26,'سال 1398'!C26,'سال 1399'!C26,'سال 1400'!C26,'سال 1401'!C26,'سال 1402'!C26,'سال 1403'!C26)</ns0:f>
        <ns0:v>0.04794578141639601</ns0:v>
      </ns0:c>
      <ns0:c r="D116" s="75">
        <ns0:f>MAX('سال 1392'!D26,'سال 1393'!D26,'سال 1394'!D26,'سال 1395'!D26,'سال 1396'!D26,'سال 1397'!D26,'سال 1398'!D26,'سال 1399'!D26,'سال 1400'!D26,'سال 1401'!D26,'سال 1402'!D26,'سال 1403'!D26)-MIN('سال 1392'!D26,'سال 1393'!D26,'سال 1394'!D26,'سال 1395'!D26,'سال 1396'!D26,'سال 1397'!D26,'سال 1398'!D26,'سال 1399'!D26,'سال 1400'!D26,'سال 1401'!D26,'سال 1402'!D26,'سال 1403'!D26)</ns0:f>
        <ns0:v>0.029807611346650012</ns0:v>
      </ns0:c>
      <ns0:c r="E116" s="75">
        <ns0:f>MAX('سال 1392'!E26,'سال 1393'!E26,'سال 1394'!E26,'سال 1395'!E26,'سال 1396'!E26,'سال 1397'!E26,'سال 1398'!E26,'سال 1399'!E26,'سال 1400'!E26,'سال 1401'!E26,'سال 1402'!E26,'سال 1403'!E26)-MIN('سال 1392'!E26,'سال 1393'!E26,'سال 1394'!E26,'سال 1395'!E26,'سال 1396'!E26,'سال 1397'!E26,'سال 1398'!E26,'سال 1399'!E26,'سال 1400'!E26,'سال 1401'!E26,'سال 1402'!E26,'سال 1403'!E26)</ns0:f>
        <ns0:v>0.015892526724975112</ns0:v>
      </ns0:c>
      <ns0:c r="F116" s="75">
        <ns0:f>MAX('سال 1392'!F26,'سال 1393'!F26,'سال 1394'!F26,'سال 1395'!F26,'سال 1396'!F26,'سال 1397'!F26,'سال 1398'!F26,'سال 1399'!F26,'سال 1400'!F26,'سال 1401'!F26,'سال 1402'!F26,'سال 1403'!F26)-MIN('سال 1392'!F26,'سال 1393'!F26,'سال 1394'!F26,'سال 1395'!F26,'سال 1396'!F26,'سال 1397'!F26,'سال 1398'!F26,'سال 1399'!F26,'سال 1400'!F26,'سال 1401'!F26,'سال 1402'!F26,'سال 1403'!F26)</ns0:f>
        <ns0:v>0.01970996667556278</ns0:v>
      </ns0:c>
      <ns0:c r="G116" s="75">
        <ns0:f>MAX('سال 1392'!G26,'سال 1393'!G26,'سال 1394'!G26,'سال 1395'!G26,'سال 1396'!G26,'سال 1397'!G26,'سال 1398'!G26,'سال 1399'!G26,'سال 1400'!G26,'سال 1401'!G26,'سال 1402'!G26,'سال 1403'!G26)-MIN('سال 1392'!G26,'سال 1393'!G26,'سال 1394'!G26,'سال 1395'!G26,'سال 1396'!G26,'سال 1397'!G26,'سال 1398'!G26,'سال 1399'!G26,'سال 1400'!G26,'سال 1401'!G26,'سال 1402'!G26,'سال 1403'!G26)</ns0:f>
        <ns0:v>0.009483987316232123</ns0:v>
      </ns0:c>
      <ns0:c r="H116" s="75">
        <ns0:f>MAX('سال 1392'!H26,'سال 1393'!H26,'سال 1394'!H26,'سال 1395'!H26,'سال 1396'!H26,'سال 1397'!H26,'سال 1398'!H26,'سال 1399'!H26,'سال 1400'!H26,'سال 1401'!H26,'سال 1402'!H26,'سال 1403'!H26)-MIN('سال 1392'!H26,'سال 1393'!H26,'سال 1394'!H26,'سال 1395'!H26,'سال 1396'!H26,'سال 1397'!H26,'سال 1398'!H26,'سال 1399'!H26,'سال 1400'!H26,'سال 1401'!H26,'سال 1402'!H26,'سال 1403'!H26)</ns0:f>
        <ns0:v>0.01974824358860823</ns0:v>
      </ns0:c>
      <ns0:c r="I116" s="75">
        <ns0:f>MAX('سال 1392'!I26,'سال 1393'!I26,'سال 1394'!I26,'سال 1395'!I26,'سال 1396'!I26,'سال 1397'!I26,'سال 1398'!I26,'سال 1399'!I26,'سال 1400'!I26,'سال 1401'!I26,'سال 1402'!I26,'سال 1403'!I26)-MIN('سال 1392'!I26,'سال 1393'!I26,'سال 1394'!I26,'سال 1395'!I26,'سال 1396'!I26,'سال 1397'!I26,'سال 1398'!I26,'سال 1399'!I26,'سال 1400'!I26,'سال 1401'!I26,'سال 1402'!I26,'سال 1403'!I26)</ns0:f>
        <ns0:v>0.01492379026407022</ns0:v>
      </ns0:c>
      <ns0:c r="J116" s="75">
        <ns0:f>MAX('سال 1392'!J26,'سال 1393'!J26,'سال 1394'!J26,'سال 1395'!J26,'سال 1396'!J26,'سال 1397'!J26,'سال 1398'!J26,'سال 1399'!J26,'سال 1400'!J26,'سال 1401'!J26,'سال 1402'!J26,'سال 1403'!J26)-MIN('سال 1392'!J26,'سال 1393'!J26,'سال 1394'!J26,'سال 1395'!J26,'سال 1396'!J26,'سال 1397'!J26,'سال 1398'!J26,'سال 1399'!J26,'سال 1400'!J26,'سال 1401'!J26,'سال 1402'!J26,'سال 1403'!J26)</ns0:f>
        <ns0:v>0.010752826900430787</ns0:v>
      </ns0:c>
      <ns0:c r="K116" s="75">
        <ns0:f>MAX('سال 1392'!K26,'سال 1393'!K26,'سال 1394'!K26,'سال 1395'!K26,'سال 1396'!K26,'سال 1397'!K26,'سال 1398'!K26,'سال 1399'!K26,'سال 1400'!K26,'سال 1401'!K26,'سال 1402'!K26,'سال 1403'!K26)-MIN('سال 1392'!K26,'سال 1393'!K26,'سال 1394'!K26,'سال 1395'!K26,'سال 1396'!K26,'سال 1397'!K26,'سال 1398'!K26,'سال 1399'!K26,'سال 1400'!K26,'سال 1401'!K26,'سال 1402'!K26,'سال 1403'!K26)</ns0:f>
        <ns0:v>0.012740648223383208</ns0:v>
      </ns0:c>
      <ns0:c r="L116" s="75">
        <ns0:f>MAX('سال 1392'!L26,'سال 1393'!L26,'سال 1394'!L26,'سال 1395'!L26,'سال 1396'!L26,'سال 1397'!L26,'سال 1398'!L26,'سال 1399'!L26,'سال 1400'!L26,'سال 1401'!L26,'سال 1402'!L26,'سال 1403'!L26)-MIN('سال 1392'!L26,'سال 1393'!L26,'سال 1394'!L26,'سال 1395'!L26,'سال 1396'!L26,'سال 1397'!L26,'سال 1398'!L26,'سال 1399'!L26,'سال 1400'!L26,'سال 1401'!L26,'سال 1402'!L26,'سال 1403'!L26)</ns0:f>
        <ns0:v>0.010757202662470794</ns0:v>
      </ns0:c>
      <ns0:c r="M116" s="75">
        <ns0:f>MAX('سال 1392'!M26,'سال 1393'!M26,'سال 1394'!M26,'سال 1395'!M26,'سال 1396'!M26,'سال 1397'!M26,'سال 1398'!M26,'سال 1399'!M26,'سال 1400'!M26,'سال 1401'!M26,'سال 1402'!M26,'سال 1403'!M26)-MIN('سال 1392'!M26,'سال 1393'!M26,'سال 1394'!M26,'سال 1395'!M26,'سال 1396'!M26,'سال 1397'!M26,'سال 1398'!M26,'سال 1399'!M26,'سال 1400'!M26,'سال 1401'!M26,'سال 1402'!M26,'سال 1403'!M26)</ns0:f>
        <ns0:v>0.009887378994458788</ns0:v>
      </ns0:c>
    </ns0:row>
    <ns0:row r="117" ht="30" customHeight="1">
      <ns0:c r="A117" s="73" t="inlineStr">
        <ns0:is>
          <ns0:t>نان و غلات</ns0:t>
        </ns0:is>
      </ns0:c>
      <ns0:c r="B117" s="75">
        <ns0:f>MAX('سال 1392'!B27,'سال 1393'!B27,'سال 1394'!B27,'سال 1395'!B27,'سال 1396'!B27,'سال 1397'!B27,'سال 1398'!B27,'سال 1399'!B27,'سال 1400'!B27,'سال 1401'!B27,'سال 1402'!B27,'سال 1403'!B27)-MIN('سال 1392'!B27,'سال 1393'!B27,'سال 1394'!B27,'سال 1395'!B27,'سال 1396'!B27,'سال 1397'!B27,'سال 1398'!B27,'سال 1399'!B27,'سال 1400'!B27,'سال 1401'!B27,'سال 1402'!B27,'سال 1403'!B27)</ns0:f>
        <ns0:v>0.13422831509634497</ns0:v>
      </ns0:c>
      <ns0:c r="C117" s="74">
        <ns0:f>MAX('سال 1392'!C27,'سال 1393'!C27,'سال 1394'!C27,'سال 1395'!C27,'سال 1396'!C27,'سال 1397'!C27,'سال 1398'!C27,'سال 1399'!C27,'سال 1400'!C27,'سال 1401'!C27,'سال 1402'!C27,'سال 1403'!C27)-MIN('سال 1392'!C27,'سال 1393'!C27,'سال 1394'!C27,'سال 1395'!C27,'سال 1396'!C27,'سال 1397'!C27,'سال 1398'!C27,'سال 1399'!C27,'سال 1400'!C27,'سال 1401'!C27,'سال 1402'!C27,'سال 1403'!C27)</ns0:f>
        <ns0:v>0.3090469287418779</ns0:v>
      </ns0:c>
      <ns0:c r="D117" s="75">
        <ns0:f>MAX('سال 1392'!D27,'سال 1393'!D27,'سال 1394'!D27,'سال 1395'!D27,'سال 1396'!D27,'سال 1397'!D27,'سال 1398'!D27,'سال 1399'!D27,'سال 1400'!D27,'سال 1401'!D27,'سال 1402'!D27,'سال 1403'!D27)-MIN('سال 1392'!D27,'سال 1393'!D27,'سال 1394'!D27,'سال 1395'!D27,'سال 1396'!D27,'سال 1397'!D27,'سال 1398'!D27,'سال 1399'!D27,'سال 1400'!D27,'سال 1401'!D27,'سال 1402'!D27,'سال 1403'!D27)</ns0:f>
        <ns0:v>0.3402094136019651</ns0:v>
      </ns0:c>
      <ns0:c r="E117" s="75">
        <ns0:f>MAX('سال 1392'!E27,'سال 1393'!E27,'سال 1394'!E27,'سال 1395'!E27,'سال 1396'!E27,'سال 1397'!E27,'سال 1398'!E27,'سال 1399'!E27,'سال 1400'!E27,'سال 1401'!E27,'سال 1402'!E27,'سال 1403'!E27)-MIN('سال 1392'!E27,'سال 1393'!E27,'سال 1394'!E27,'سال 1395'!E27,'سال 1396'!E27,'سال 1397'!E27,'سال 1398'!E27,'سال 1399'!E27,'سال 1400'!E27,'سال 1401'!E27,'سال 1402'!E27,'سال 1403'!E27)</ns0:f>
        <ns0:v>0.11348475828005644</ns0:v>
      </ns0:c>
      <ns0:c r="F117" s="75">
        <ns0:f>MAX('سال 1392'!F27,'سال 1393'!F27,'سال 1394'!F27,'سال 1395'!F27,'سال 1396'!F27,'سال 1397'!F27,'سال 1398'!F27,'سال 1399'!F27,'سال 1400'!F27,'سال 1401'!F27,'سال 1402'!F27,'سال 1403'!F27)-MIN('سال 1392'!F27,'سال 1393'!F27,'سال 1394'!F27,'سال 1395'!F27,'سال 1396'!F27,'سال 1397'!F27,'سال 1398'!F27,'سال 1399'!F27,'سال 1400'!F27,'سال 1401'!F27,'سال 1402'!F27,'سال 1403'!F27)</ns0:f>
        <ns0:v>0.04312827954788622</ns0:v>
      </ns0:c>
      <ns0:c r="G117" s="75">
        <ns0:f>MAX('سال 1392'!G27,'سال 1393'!G27,'سال 1394'!G27,'سال 1395'!G27,'سال 1396'!G27,'سال 1397'!G27,'سال 1398'!G27,'سال 1399'!G27,'سال 1400'!G27,'سال 1401'!G27,'سال 1402'!G27,'سال 1403'!G27)-MIN('سال 1392'!G27,'سال 1393'!G27,'سال 1394'!G27,'سال 1395'!G27,'سال 1396'!G27,'سال 1397'!G27,'سال 1398'!G27,'سال 1399'!G27,'سال 1400'!G27,'سال 1401'!G27,'سال 1402'!G27,'سال 1403'!G27)</ns0:f>
        <ns0:v>0.050867532897192154</ns0:v>
      </ns0:c>
      <ns0:c r="H117" s="75">
        <ns0:f>MAX('سال 1392'!H27,'سال 1393'!H27,'سال 1394'!H27,'سال 1395'!H27,'سال 1396'!H27,'سال 1397'!H27,'سال 1398'!H27,'سال 1399'!H27,'سال 1400'!H27,'سال 1401'!H27,'سال 1402'!H27,'سال 1403'!H27)-MIN('سال 1392'!H27,'سال 1393'!H27,'سال 1394'!H27,'سال 1395'!H27,'سال 1396'!H27,'سال 1397'!H27,'سال 1398'!H27,'سال 1399'!H27,'سال 1400'!H27,'سال 1401'!H27,'سال 1402'!H27,'سال 1403'!H27)</ns0:f>
        <ns0:v>0.05221475899351416</ns0:v>
      </ns0:c>
      <ns0:c r="I117" s="75">
        <ns0:f>MAX('سال 1392'!I27,'سال 1393'!I27,'سال 1394'!I27,'سال 1395'!I27,'سال 1396'!I27,'سال 1397'!I27,'سال 1398'!I27,'سال 1399'!I27,'سال 1400'!I27,'سال 1401'!I27,'سال 1402'!I27,'سال 1403'!I27)-MIN('سال 1392'!I27,'سال 1393'!I27,'سال 1394'!I27,'سال 1395'!I27,'سال 1396'!I27,'سال 1397'!I27,'سال 1398'!I27,'سال 1399'!I27,'سال 1400'!I27,'سال 1401'!I27,'سال 1402'!I27,'سال 1403'!I27)</ns0:f>
        <ns0:v>0.06183721054349614</ns0:v>
      </ns0:c>
      <ns0:c r="J117" s="75">
        <ns0:f>MAX('سال 1392'!J27,'سال 1393'!J27,'سال 1394'!J27,'سال 1395'!J27,'سال 1396'!J27,'سال 1397'!J27,'سال 1398'!J27,'سال 1399'!J27,'سال 1400'!J27,'سال 1401'!J27,'سال 1402'!J27,'سال 1403'!J27)-MIN('سال 1392'!J27,'سال 1393'!J27,'سال 1394'!J27,'سال 1395'!J27,'سال 1396'!J27,'سال 1397'!J27,'سال 1398'!J27,'سال 1399'!J27,'سال 1400'!J27,'سال 1401'!J27,'سال 1402'!J27,'سال 1403'!J27)</ns0:f>
        <ns0:v>0.01697240233060255</ns0:v>
      </ns0:c>
      <ns0:c r="K117" s="75">
        <ns0:f>MAX('سال 1392'!K27,'سال 1393'!K27,'سال 1394'!K27,'سال 1395'!K27,'سال 1396'!K27,'سال 1397'!K27,'سال 1398'!K27,'سال 1399'!K27,'سال 1400'!K27,'سال 1401'!K27,'سال 1402'!K27,'سال 1403'!K27)-MIN('سال 1392'!K27,'سال 1393'!K27,'سال 1394'!K27,'سال 1395'!K27,'سال 1396'!K27,'سال 1397'!K27,'سال 1398'!K27,'سال 1399'!K27,'سال 1400'!K27,'سال 1401'!K27,'سال 1402'!K27,'سال 1403'!K27)</ns0:f>
        <ns0:v>0.017786947585549398</ns0:v>
      </ns0:c>
      <ns0:c r="L117" s="75">
        <ns0:f>MAX('سال 1392'!L27,'سال 1393'!L27,'سال 1394'!L27,'سال 1395'!L27,'سال 1396'!L27,'سال 1397'!L27,'سال 1398'!L27,'سال 1399'!L27,'سال 1400'!L27,'سال 1401'!L27,'سال 1402'!L27,'سال 1403'!L27)-MIN('سال 1392'!L27,'سال 1393'!L27,'سال 1394'!L27,'سال 1395'!L27,'سال 1396'!L27,'سال 1397'!L27,'سال 1398'!L27,'سال 1399'!L27,'سال 1400'!L27,'سال 1401'!L27,'سال 1402'!L27,'سال 1403'!L27)</ns0:f>
        <ns0:v>0.11471919707739486</ns0:v>
      </ns0:c>
      <ns0:c r="M117" s="75">
        <ns0:f>MAX('سال 1392'!M27,'سال 1393'!M27,'سال 1394'!M27,'سال 1395'!M27,'سال 1396'!M27,'سال 1397'!M27,'سال 1398'!M27,'سال 1399'!M27,'سال 1400'!M27,'سال 1401'!M27,'سال 1402'!M27,'سال 1403'!M27)-MIN('سال 1392'!M27,'سال 1393'!M27,'سال 1394'!M27,'سال 1395'!M27,'سال 1396'!M27,'سال 1397'!M27,'سال 1398'!M27,'سال 1399'!M27,'سال 1400'!M27,'سال 1401'!M27,'سال 1402'!M27,'سال 1403'!M27)</ns0:f>
        <ns0:v>0.039183015945721274</ns0:v>
      </ns0:c>
    </ns0:row>
    <ns0:row r="118" ht="30" customHeight="1">
      <ns0:c r="A118" s="73" t="inlineStr">
        <ns0:is>
          <ns0:t>گوشت</ns0:t>
        </ns0:is>
      </ns0:c>
      <ns0:c r="B118" s="75">
        <ns0:f>MAX('سال 1392'!B28,'سال 1393'!B28,'سال 1394'!B28,'سال 1395'!B28,'سال 1396'!B28,'سال 1397'!B28,'سال 1398'!B28,'سال 1399'!B28,'سال 1400'!B28,'سال 1401'!B28,'سال 1402'!B28,'سال 1403'!B28)-MIN('سال 1392'!B28,'سال 1393'!B28,'سال 1394'!B28,'سال 1395'!B28,'سال 1396'!B28,'سال 1397'!B28,'سال 1398'!B28,'سال 1399'!B28,'سال 1400'!B28,'سال 1401'!B28,'سال 1402'!B28,'سال 1403'!B28)</ns0:f>
        <ns0:v>0.003428094347750543</ns0:v>
      </ns0:c>
      <ns0:c r="C118" s="75">
        <ns0:f>MAX('سال 1392'!C28,'سال 1393'!C28,'سال 1394'!C28,'سال 1395'!C28,'سال 1396'!C28,'سال 1397'!C28,'سال 1398'!C28,'سال 1399'!C28,'سال 1400'!C28,'سال 1401'!C28,'سال 1402'!C28,'سال 1403'!C28)-MIN('سال 1392'!C28,'سال 1393'!C28,'سال 1394'!C28,'سال 1395'!C28,'سال 1396'!C28,'سال 1397'!C28,'سال 1398'!C28,'سال 1399'!C28,'سال 1400'!C28,'سال 1401'!C28,'سال 1402'!C28,'سال 1403'!C28)</ns0:f>
        <ns0:v>0.009773353368444829</ns0:v>
      </ns0:c>
      <ns0:c r="D118" s="74">
        <ns0:f>MAX('سال 1392'!D28,'سال 1393'!D28,'سال 1394'!D28,'سال 1395'!D28,'سال 1396'!D28,'سال 1397'!D28,'سال 1398'!D28,'سال 1399'!D28,'سال 1400'!D28,'سال 1401'!D28,'سال 1402'!D28,'سال 1403'!D28)-MIN('سال 1392'!D28,'سال 1393'!D28,'سال 1394'!D28,'سال 1395'!D28,'سال 1396'!D28,'سال 1397'!D28,'سال 1398'!D28,'سال 1399'!D28,'سال 1400'!D28,'سال 1401'!D28,'سال 1402'!D28,'سال 1403'!D28)</ns0:f>
        <ns0:v>0.03889562024830817</ns0:v>
      </ns0:c>
      <ns0:c r="E118" s="75">
        <ns0:f>MAX('سال 1392'!E28,'سال 1393'!E28,'سال 1394'!E28,'سال 1395'!E28,'سال 1396'!E28,'سال 1397'!E28,'سال 1398'!E28,'سال 1399'!E28,'سال 1400'!E28,'سال 1401'!E28,'سال 1402'!E28,'سال 1403'!E28)-MIN('سال 1392'!E28,'سال 1393'!E28,'سال 1394'!E28,'سال 1395'!E28,'سال 1396'!E28,'سال 1397'!E28,'سال 1398'!E28,'سال 1399'!E28,'سال 1400'!E28,'سال 1401'!E28,'سال 1402'!E28,'سال 1403'!E28)</ns0:f>
        <ns0:v>0.0101724867871611</ns0:v>
      </ns0:c>
      <ns0:c r="F118" s="75">
        <ns0:f>MAX('سال 1392'!F28,'سال 1393'!F28,'سال 1394'!F28,'سال 1395'!F28,'سال 1396'!F28,'سال 1397'!F28,'سال 1398'!F28,'سال 1399'!F28,'سال 1400'!F28,'سال 1401'!F28,'سال 1402'!F28,'سال 1403'!F28)-MIN('سال 1392'!F28,'سال 1393'!F28,'سال 1394'!F28,'سال 1395'!F28,'سال 1396'!F28,'سال 1397'!F28,'سال 1398'!F28,'سال 1399'!F28,'سال 1400'!F28,'سال 1401'!F28,'سال 1402'!F28,'سال 1403'!F28)</ns0:f>
        <ns0:v>0.02070651323500991</ns0:v>
      </ns0:c>
      <ns0:c r="G118" s="75">
        <ns0:f>MAX('سال 1392'!G28,'سال 1393'!G28,'سال 1394'!G28,'سال 1395'!G28,'سال 1396'!G28,'سال 1397'!G28,'سال 1398'!G28,'سال 1399'!G28,'سال 1400'!G28,'سال 1401'!G28,'سال 1402'!G28,'سال 1403'!G28)-MIN('سال 1392'!G28,'سال 1393'!G28,'سال 1394'!G28,'سال 1395'!G28,'سال 1396'!G28,'سال 1397'!G28,'سال 1398'!G28,'سال 1399'!G28,'سال 1400'!G28,'سال 1401'!G28,'سال 1402'!G28,'سال 1403'!G28)</ns0:f>
        <ns0:v>0.00246761039875328</ns0:v>
      </ns0:c>
      <ns0:c r="H118" s="75">
        <ns0:f>MAX('سال 1392'!H28,'سال 1393'!H28,'سال 1394'!H28,'سال 1395'!H28,'سال 1396'!H28,'سال 1397'!H28,'سال 1398'!H28,'سال 1399'!H28,'سال 1400'!H28,'سال 1401'!H28,'سال 1402'!H28,'سال 1403'!H28)-MIN('سال 1392'!H28,'سال 1393'!H28,'سال 1394'!H28,'سال 1395'!H28,'سال 1396'!H28,'سال 1397'!H28,'سال 1398'!H28,'سال 1399'!H28,'سال 1400'!H28,'سال 1401'!H28,'سال 1402'!H28,'سال 1403'!H28)</ns0:f>
        <ns0:v>0.015529273449631592</ns0:v>
      </ns0:c>
      <ns0:c r="I118" s="75">
        <ns0:f>MAX('سال 1392'!I28,'سال 1393'!I28,'سال 1394'!I28,'سال 1395'!I28,'سال 1396'!I28,'سال 1397'!I28,'سال 1398'!I28,'سال 1399'!I28,'سال 1400'!I28,'سال 1401'!I28,'سال 1402'!I28,'سال 1403'!I28)-MIN('سال 1392'!I28,'سال 1393'!I28,'سال 1394'!I28,'سال 1395'!I28,'سال 1396'!I28,'سال 1397'!I28,'سال 1398'!I28,'سال 1399'!I28,'سال 1400'!I28,'سال 1401'!I28,'سال 1402'!I28,'سال 1403'!I28)</ns0:f>
        <ns0:v>0.0033372163190901055</ns0:v>
      </ns0:c>
      <ns0:c r="J118" s="75">
        <ns0:f>MAX('سال 1392'!J28,'سال 1393'!J28,'سال 1394'!J28,'سال 1395'!J28,'سال 1396'!J28,'سال 1397'!J28,'سال 1398'!J28,'سال 1399'!J28,'سال 1400'!J28,'سال 1401'!J28,'سال 1402'!J28,'سال 1403'!J28)-MIN('سال 1392'!J28,'سال 1393'!J28,'سال 1394'!J28,'سال 1395'!J28,'سال 1396'!J28,'سال 1397'!J28,'سال 1398'!J28,'سال 1399'!J28,'سال 1400'!J28,'سال 1401'!J28,'سال 1402'!J28,'سال 1403'!J28)</ns0:f>
        <ns0:v>0.01223590751987802</ns0:v>
      </ns0:c>
      <ns0:c r="K118" s="75">
        <ns0:f>MAX('سال 1392'!K28,'سال 1393'!K28,'سال 1394'!K28,'سال 1395'!K28,'سال 1396'!K28,'سال 1397'!K28,'سال 1398'!K28,'سال 1399'!K28,'سال 1400'!K28,'سال 1401'!K28,'سال 1402'!K28,'سال 1403'!K28)-MIN('سال 1392'!K28,'سال 1393'!K28,'سال 1394'!K28,'سال 1395'!K28,'سال 1396'!K28,'سال 1397'!K28,'سال 1398'!K28,'سال 1399'!K28,'سال 1400'!K28,'سال 1401'!K28,'سال 1402'!K28,'سال 1403'!K28)</ns0:f>
        <ns0:v>0.005724193054204841</ns0:v>
      </ns0:c>
      <ns0:c r="L118" s="75">
        <ns0:f>MAX('سال 1392'!L28,'سال 1393'!L28,'سال 1394'!L28,'سال 1395'!L28,'سال 1396'!L28,'سال 1397'!L28,'سال 1398'!L28,'سال 1399'!L28,'سال 1400'!L28,'سال 1401'!L28,'سال 1402'!L28,'سال 1403'!L28)-MIN('سال 1392'!L28,'سال 1393'!L28,'سال 1394'!L28,'سال 1395'!L28,'سال 1396'!L28,'سال 1397'!L28,'سال 1398'!L28,'سال 1399'!L28,'سال 1400'!L28,'سال 1401'!L28,'سال 1402'!L28,'سال 1403'!L28)</ns0:f>
        <ns0:v>0.008410328727402154</ns0:v>
      </ns0:c>
      <ns0:c r="M118" s="75">
        <ns0:f>MAX('سال 1392'!M28,'سال 1393'!M28,'سال 1394'!M28,'سال 1395'!M28,'سال 1396'!M28,'سال 1397'!M28,'سال 1398'!M28,'سال 1399'!M28,'سال 1400'!M28,'سال 1401'!M28,'سال 1402'!M28,'سال 1403'!M28)-MIN('سال 1392'!M28,'سال 1393'!M28,'سال 1394'!M28,'سال 1395'!M28,'سال 1396'!M28,'سال 1397'!M28,'سال 1398'!M28,'سال 1399'!M28,'سال 1400'!M28,'سال 1401'!M28,'سال 1402'!M28,'سال 1403'!M28)</ns0:f>
        <ns0:v>0.010302549827274618</ns0:v>
      </ns0:c>
    </ns0:row>
    <ns0:row r="119" ht="30" customHeight="1">
      <ns0:c r="A119" s="73" t="inlineStr">
        <ns0:is>
          <ns0:t>لبنیات و تخم‌مرغ</ns0:t>
        </ns0:is>
      </ns0:c>
      <ns0:c r="B119" s="75">
        <ns0:f>MAX('سال 1392'!B29,'سال 1393'!B29,'سال 1394'!B29,'سال 1395'!B29,'سال 1396'!B29,'سال 1397'!B29,'سال 1398'!B29,'سال 1399'!B29,'سال 1400'!B29,'سال 1401'!B29,'سال 1402'!B29,'سال 1403'!B29)-MIN('سال 1392'!B29,'سال 1393'!B29,'سال 1394'!B29,'سال 1395'!B29,'سال 1396'!B29,'سال 1397'!B29,'سال 1398'!B29,'سال 1399'!B29,'سال 1400'!B29,'سال 1401'!B29,'سال 1402'!B29,'سال 1403'!B29)</ns0:f>
        <ns0:v>0.027296593135356373</ns0:v>
      </ns0:c>
      <ns0:c r="C119" s="75">
        <ns0:f>MAX('سال 1392'!C29,'سال 1393'!C29,'سال 1394'!C29,'سال 1395'!C29,'سال 1396'!C29,'سال 1397'!C29,'سال 1398'!C29,'سال 1399'!C29,'سال 1400'!C29,'سال 1401'!C29,'سال 1402'!C29,'سال 1403'!C29)-MIN('سال 1392'!C29,'سال 1393'!C29,'سال 1394'!C29,'سال 1395'!C29,'سال 1396'!C29,'سال 1397'!C29,'سال 1398'!C29,'سال 1399'!C29,'سال 1400'!C29,'سال 1401'!C29,'سال 1402'!C29,'سال 1403'!C29)</ns0:f>
        <ns0:v>0.0402424923873822</ns0:v>
      </ns0:c>
      <ns0:c r="D119" s="75">
        <ns0:f>MAX('سال 1392'!D29,'سال 1393'!D29,'سال 1394'!D29,'سال 1395'!D29,'سال 1396'!D29,'سال 1397'!D29,'سال 1398'!D29,'سال 1399'!D29,'سال 1400'!D29,'سال 1401'!D29,'سال 1402'!D29,'سال 1403'!D29)-MIN('سال 1392'!D29,'سال 1393'!D29,'سال 1394'!D29,'سال 1395'!D29,'سال 1396'!D29,'سال 1397'!D29,'سال 1398'!D29,'سال 1399'!D29,'سال 1400'!D29,'سال 1401'!D29,'سال 1402'!D29,'سال 1403'!D29)</ns0:f>
        <ns0:v>0.015127435281621457</ns0:v>
      </ns0:c>
      <ns0:c r="E119" s="74">
        <ns0:f>MAX('سال 1392'!E29,'سال 1393'!E29,'سال 1394'!E29,'سال 1395'!E29,'سال 1396'!E29,'سال 1397'!E29,'سال 1398'!E29,'سال 1399'!E29,'سال 1400'!E29,'سال 1401'!E29,'سال 1402'!E29,'سال 1403'!E29)-MIN('سال 1392'!E29,'سال 1393'!E29,'سال 1394'!E29,'سال 1395'!E29,'سال 1396'!E29,'سال 1397'!E29,'سال 1398'!E29,'سال 1399'!E29,'سال 1400'!E29,'سال 1401'!E29,'سال 1402'!E29,'سال 1403'!E29)</ns0:f>
        <ns0:v>0.043995441428223314</ns0:v>
      </ns0:c>
      <ns0:c r="F119" s="75">
        <ns0:f>MAX('سال 1392'!F29,'سال 1393'!F29,'سال 1394'!F29,'سال 1395'!F29,'سال 1396'!F29,'سال 1397'!F29,'سال 1398'!F29,'سال 1399'!F29,'سال 1400'!F29,'سال 1401'!F29,'سال 1402'!F29,'سال 1403'!F29)-MIN('سال 1392'!F29,'سال 1393'!F29,'سال 1394'!F29,'سال 1395'!F29,'سال 1396'!F29,'سال 1397'!F29,'سال 1398'!F29,'سال 1399'!F29,'سال 1400'!F29,'سال 1401'!F29,'سال 1402'!F29,'سال 1403'!F29)</ns0:f>
        <ns0:v>0.005781390581317581</ns0:v>
      </ns0:c>
      <ns0:c r="G119" s="75">
        <ns0:f>MAX('سال 1392'!G29,'سال 1393'!G29,'سال 1394'!G29,'سال 1395'!G29,'سال 1396'!G29,'سال 1397'!G29,'سال 1398'!G29,'سال 1399'!G29,'سال 1400'!G29,'سال 1401'!G29,'سال 1402'!G29,'سال 1403'!G29)-MIN('سال 1392'!G29,'سال 1393'!G29,'سال 1394'!G29,'سال 1395'!G29,'سال 1396'!G29,'سال 1397'!G29,'سال 1398'!G29,'سال 1399'!G29,'سال 1400'!G29,'سال 1401'!G29,'سال 1402'!G29,'سال 1403'!G29)</ns0:f>
        <ns0:v>0.009325672946489026</ns0:v>
      </ns0:c>
      <ns0:c r="H119" s="75">
        <ns0:f>MAX('سال 1392'!H29,'سال 1393'!H29,'سال 1394'!H29,'سال 1395'!H29,'سال 1396'!H29,'سال 1397'!H29,'سال 1398'!H29,'سال 1399'!H29,'سال 1400'!H29,'سال 1401'!H29,'سال 1402'!H29,'سال 1403'!H29)-MIN('سال 1392'!H29,'سال 1393'!H29,'سال 1394'!H29,'سال 1395'!H29,'سال 1396'!H29,'سال 1397'!H29,'سال 1398'!H29,'سال 1399'!H29,'سال 1400'!H29,'سال 1401'!H29,'سال 1402'!H29,'سال 1403'!H29)</ns0:f>
        <ns0:v>0.03858009871365392</ns0:v>
      </ns0:c>
      <ns0:c r="I119" s="75">
        <ns0:f>MAX('سال 1392'!I29,'سال 1393'!I29,'سال 1394'!I29,'سال 1395'!I29,'سال 1396'!I29,'سال 1397'!I29,'سال 1398'!I29,'سال 1399'!I29,'سال 1400'!I29,'سال 1401'!I29,'سال 1402'!I29,'سال 1403'!I29)-MIN('سال 1392'!I29,'سال 1393'!I29,'سال 1394'!I29,'سال 1395'!I29,'سال 1396'!I29,'سال 1397'!I29,'سال 1398'!I29,'سال 1399'!I29,'سال 1400'!I29,'سال 1401'!I29,'سال 1402'!I29,'سال 1403'!I29)</ns0:f>
        <ns0:v>0.009824063820171779</ns0:v>
      </ns0:c>
      <ns0:c r="J119" s="75">
        <ns0:f>MAX('سال 1392'!J29,'سال 1393'!J29,'سال 1394'!J29,'سال 1395'!J29,'سال 1396'!J29,'سال 1397'!J29,'سال 1398'!J29,'سال 1399'!J29,'سال 1400'!J29,'سال 1401'!J29,'سال 1402'!J29,'سال 1403'!J29)-MIN('سال 1392'!J29,'سال 1393'!J29,'سال 1394'!J29,'سال 1395'!J29,'سال 1396'!J29,'سال 1397'!J29,'سال 1398'!J29,'سال 1399'!J29,'سال 1400'!J29,'سال 1401'!J29,'سال 1402'!J29,'سال 1403'!J29)</ns0:f>
        <ns0:v>0.020399183954055836</ns0:v>
      </ns0:c>
      <ns0:c r="K119" s="75">
        <ns0:f>MAX('سال 1392'!K29,'سال 1393'!K29,'سال 1394'!K29,'سال 1395'!K29,'سال 1396'!K29,'سال 1397'!K29,'سال 1398'!K29,'سال 1399'!K29,'سال 1400'!K29,'سال 1401'!K29,'سال 1402'!K29,'سال 1403'!K29)-MIN('سال 1392'!K29,'سال 1393'!K29,'سال 1394'!K29,'سال 1395'!K29,'سال 1396'!K29,'سال 1397'!K29,'سال 1398'!K29,'سال 1399'!K29,'سال 1400'!K29,'سال 1401'!K29,'سال 1402'!K29,'سال 1403'!K29)</ns0:f>
        <ns0:v>0.010778641145833844</ns0:v>
      </ns0:c>
      <ns0:c r="L119" s="75">
        <ns0:f>MAX('سال 1392'!L29,'سال 1393'!L29,'سال 1394'!L29,'سال 1395'!L29,'سال 1396'!L29,'سال 1397'!L29,'سال 1398'!L29,'سال 1399'!L29,'سال 1400'!L29,'سال 1401'!L29,'سال 1402'!L29,'سال 1403'!L29)-MIN('سال 1392'!L29,'سال 1393'!L29,'سال 1394'!L29,'سال 1395'!L29,'سال 1396'!L29,'سال 1397'!L29,'سال 1398'!L29,'سال 1399'!L29,'سال 1400'!L29,'سال 1401'!L29,'سال 1402'!L29,'سال 1403'!L29)</ns0:f>
        <ns0:v>0.027507530831978766</ns0:v>
      </ns0:c>
      <ns0:c r="M119" s="75">
        <ns0:f>MAX('سال 1392'!M29,'سال 1393'!M29,'سال 1394'!M29,'سال 1395'!M29,'سال 1396'!M29,'سال 1397'!M29,'سال 1398'!M29,'سال 1399'!M29,'سال 1400'!M29,'سال 1401'!M29,'سال 1402'!M29,'سال 1403'!M29)-MIN('سال 1392'!M29,'سال 1393'!M29,'سال 1394'!M29,'سال 1395'!M29,'سال 1396'!M29,'سال 1397'!M29,'سال 1398'!M29,'سال 1399'!M29,'سال 1400'!M29,'سال 1401'!M29,'سال 1402'!M29,'سال 1403'!M29)</ns0:f>
        <ns0:v>0.027094726482030415</ns0:v>
      </ns0:c>
    </ns0:row>
    <ns0:row r="120" ht="30" customHeight="1">
      <ns0:c r="A120" s="73" t="inlineStr">
        <ns0:is>
          <ns0:t>روغن و چربی</ns0:t>
        </ns0:is>
      </ns0:c>
      <ns0:c r="B120" s="75">
        <ns0:f>MAX('سال 1392'!B30,'سال 1393'!B30,'سال 1394'!B30,'سال 1395'!B30,'سال 1396'!B30,'سال 1397'!B30,'سال 1398'!B30,'سال 1399'!B30,'سال 1400'!B30,'سال 1401'!B30,'سال 1402'!B30,'سال 1403'!B30)-MIN('سال 1392'!B30,'سال 1393'!B30,'سال 1394'!B30,'سال 1395'!B30,'سال 1396'!B30,'سال 1397'!B30,'سال 1398'!B30,'سال 1399'!B30,'سال 1400'!B30,'سال 1401'!B30,'سال 1402'!B30,'سال 1403'!B30)</ns0:f>
        <ns0:v>0.02912197342014686</ns0:v>
      </ns0:c>
      <ns0:c r="C120" s="75">
        <ns0:f>MAX('سال 1392'!C30,'سال 1393'!C30,'سال 1394'!C30,'سال 1395'!C30,'سال 1396'!C30,'سال 1397'!C30,'سال 1398'!C30,'سال 1399'!C30,'سال 1400'!C30,'سال 1401'!C30,'سال 1402'!C30,'سال 1403'!C30)-MIN('سال 1392'!C30,'سال 1393'!C30,'سال 1394'!C30,'سال 1395'!C30,'سال 1396'!C30,'سال 1397'!C30,'سال 1398'!C30,'سال 1399'!C30,'سال 1400'!C30,'سال 1401'!C30,'سال 1402'!C30,'سال 1403'!C30)</ns0:f>
        <ns0:v>0.04683384859111758</ns0:v>
      </ns0:c>
      <ns0:c r="D120" s="75">
        <ns0:f>MAX('سال 1392'!D30,'سال 1393'!D30,'سال 1394'!D30,'سال 1395'!D30,'سال 1396'!D30,'سال 1397'!D30,'سال 1398'!D30,'سال 1399'!D30,'سال 1400'!D30,'سال 1401'!D30,'سال 1402'!D30,'سال 1403'!D30)-MIN('سال 1392'!D30,'سال 1393'!D30,'سال 1394'!D30,'سال 1395'!D30,'سال 1396'!D30,'سال 1397'!D30,'سال 1398'!D30,'سال 1399'!D30,'سال 1400'!D30,'سال 1401'!D30,'سال 1402'!D30,'سال 1403'!D30)</ns0:f>
        <ns0:v>0.033243317650273024</ns0:v>
      </ns0:c>
      <ns0:c r="E120" s="75">
        <ns0:f>MAX('سال 1392'!E30,'سال 1393'!E30,'سال 1394'!E30,'سال 1395'!E30,'سال 1396'!E30,'سال 1397'!E30,'سال 1398'!E30,'سال 1399'!E30,'سال 1400'!E30,'سال 1401'!E30,'سال 1402'!E30,'سال 1403'!E30)-MIN('سال 1392'!E30,'سال 1393'!E30,'سال 1394'!E30,'سال 1395'!E30,'سال 1396'!E30,'سال 1397'!E30,'سال 1398'!E30,'سال 1399'!E30,'سال 1400'!E30,'سال 1401'!E30,'سال 1402'!E30,'سال 1403'!E30)</ns0:f>
        <ns0:v>0.026529655023783086</ns0:v>
      </ns0:c>
      <ns0:c r="F120" s="74">
        <ns0:f>MAX('سال 1392'!F30,'سال 1393'!F30,'سال 1394'!F30,'سال 1395'!F30,'سال 1396'!F30,'سال 1397'!F30,'سال 1398'!F30,'سال 1399'!F30,'سال 1400'!F30,'سال 1401'!F30,'سال 1402'!F30,'سال 1403'!F30)-MIN('سال 1392'!F30,'سال 1393'!F30,'سال 1394'!F30,'سال 1395'!F30,'سال 1396'!F30,'سال 1397'!F30,'سال 1398'!F30,'سال 1399'!F30,'سال 1400'!F30,'سال 1401'!F30,'سال 1402'!F30,'سال 1403'!F30)</ns0:f>
        <ns0:v>0.22520392498916764</ns0:v>
      </ns0:c>
      <ns0:c r="G120" s="75">
        <ns0:f>MAX('سال 1392'!G30,'سال 1393'!G30,'سال 1394'!G30,'سال 1395'!G30,'سال 1396'!G30,'سال 1397'!G30,'سال 1398'!G30,'سال 1399'!G30,'سال 1400'!G30,'سال 1401'!G30,'سال 1402'!G30,'سال 1403'!G30)-MIN('سال 1392'!G30,'سال 1393'!G30,'سال 1394'!G30,'سال 1395'!G30,'سال 1396'!G30,'سال 1397'!G30,'سال 1398'!G30,'سال 1399'!G30,'سال 1400'!G30,'سال 1401'!G30,'سال 1402'!G30,'سال 1403'!G30)</ns0:f>
        <ns0:v>0.008702913389459825</ns0:v>
      </ns0:c>
      <ns0:c r="H120" s="75">
        <ns0:f>MAX('سال 1392'!H30,'سال 1393'!H30,'سال 1394'!H30,'سال 1395'!H30,'سال 1396'!H30,'سال 1397'!H30,'سال 1398'!H30,'سال 1399'!H30,'سال 1400'!H30,'سال 1401'!H30,'سال 1402'!H30,'سال 1403'!H30)-MIN('سال 1392'!H30,'سال 1393'!H30,'سال 1394'!H30,'سال 1395'!H30,'سال 1396'!H30,'سال 1397'!H30,'سال 1398'!H30,'سال 1399'!H30,'سال 1400'!H30,'سال 1401'!H30,'سال 1402'!H30,'سال 1403'!H30)</ns0:f>
        <ns0:v>0.03459086315919198</ns0:v>
      </ns0:c>
      <ns0:c r="I120" s="75">
        <ns0:f>MAX('سال 1392'!I30,'سال 1393'!I30,'سال 1394'!I30,'سال 1395'!I30,'سال 1396'!I30,'سال 1397'!I30,'سال 1398'!I30,'سال 1399'!I30,'سال 1400'!I30,'سال 1401'!I30,'سال 1402'!I30,'سال 1403'!I30)-MIN('سال 1392'!I30,'سال 1393'!I30,'سال 1394'!I30,'سال 1395'!I30,'سال 1396'!I30,'سال 1397'!I30,'سال 1398'!I30,'سال 1399'!I30,'سال 1400'!I30,'سال 1401'!I30,'سال 1402'!I30,'سال 1403'!I30)</ns0:f>
        <ns0:v>0.017264236142880557</ns0:v>
      </ns0:c>
      <ns0:c r="J120" s="75">
        <ns0:f>MAX('سال 1392'!J30,'سال 1393'!J30,'سال 1394'!J30,'سال 1395'!J30,'سال 1396'!J30,'سال 1397'!J30,'سال 1398'!J30,'سال 1399'!J30,'سال 1400'!J30,'سال 1401'!J30,'سال 1402'!J30,'سال 1403'!J30)-MIN('سال 1392'!J30,'سال 1393'!J30,'سال 1394'!J30,'سال 1395'!J30,'سال 1396'!J30,'سال 1397'!J30,'سال 1398'!J30,'سال 1399'!J30,'سال 1400'!J30,'سال 1401'!J30,'سال 1402'!J30,'سال 1403'!J30)</ns0:f>
        <ns0:v>0.025605933599952023</ns0:v>
      </ns0:c>
      <ns0:c r="K120" s="75">
        <ns0:f>MAX('سال 1392'!K30,'سال 1393'!K30,'سال 1394'!K30,'سال 1395'!K30,'سال 1396'!K30,'سال 1397'!K30,'سال 1398'!K30,'سال 1399'!K30,'سال 1400'!K30,'سال 1401'!K30,'سال 1402'!K30,'سال 1403'!K30)-MIN('سال 1392'!K30,'سال 1393'!K30,'سال 1394'!K30,'سال 1395'!K30,'سال 1396'!K30,'سال 1397'!K30,'سال 1398'!K30,'سال 1399'!K30,'سال 1400'!K30,'سال 1401'!K30,'سال 1402'!K30,'سال 1403'!K30)</ns0:f>
        <ns0:v>0.007894792635146721</ns0:v>
      </ns0:c>
      <ns0:c r="L120" s="75">
        <ns0:f>MAX('سال 1392'!L30,'سال 1393'!L30,'سال 1394'!L30,'سال 1395'!L30,'سال 1396'!L30,'سال 1397'!L30,'سال 1398'!L30,'سال 1399'!L30,'سال 1400'!L30,'سال 1401'!L30,'سال 1402'!L30,'سال 1403'!L30)-MIN('سال 1392'!L30,'سال 1393'!L30,'سال 1394'!L30,'سال 1395'!L30,'سال 1396'!L30,'سال 1397'!L30,'سال 1398'!L30,'سال 1399'!L30,'سال 1400'!L30,'سال 1401'!L30,'سال 1402'!L30,'سال 1403'!L30)</ns0:f>
        <ns0:v>0.02325534827389962</ns0:v>
      </ns0:c>
      <ns0:c r="M120" s="75">
        <ns0:f>MAX('سال 1392'!M30,'سال 1393'!M30,'سال 1394'!M30,'سال 1395'!M30,'سال 1396'!M30,'سال 1397'!M30,'سال 1398'!M30,'سال 1399'!M30,'سال 1400'!M30,'سال 1401'!M30,'سال 1402'!M30,'سال 1403'!M30)-MIN('سال 1392'!M30,'سال 1393'!M30,'سال 1394'!M30,'سال 1395'!M30,'سال 1396'!M30,'سال 1397'!M30,'سال 1398'!M30,'سال 1399'!M30,'سال 1400'!M30,'سال 1401'!M30,'سال 1402'!M30,'سال 1403'!M30)</ns0:f>
        <ns0:v>0.012156172100528176</ns0:v>
      </ns0:c>
    </ns0:row>
    <ns0:row r="121" ht="30" customHeight="1">
      <ns0:c r="A121" s="73" t="inlineStr">
        <ns0:is>
          <ns0:t>میوه</ns0:t>
        </ns0:is>
      </ns0:c>
      <ns0:c r="B121" s="75">
        <ns0:f>MAX('سال 1392'!B31,'سال 1393'!B31,'سال 1394'!B31,'سال 1395'!B31,'سال 1396'!B31,'سال 1397'!B31,'سال 1398'!B31,'سال 1399'!B31,'سال 1400'!B31,'سال 1401'!B31,'سال 1402'!B31,'سال 1403'!B31)-MIN('سال 1392'!B31,'سال 1393'!B31,'سال 1394'!B31,'سال 1395'!B31,'سال 1396'!B31,'سال 1397'!B31,'سال 1398'!B31,'سال 1399'!B31,'سال 1400'!B31,'سال 1401'!B31,'سال 1402'!B31,'سال 1403'!B31)</ns0:f>
        <ns0:v>0.016596960853722864</ns0:v>
      </ns0:c>
      <ns0:c r="C121" s="75">
        <ns0:f>MAX('سال 1392'!C31,'سال 1393'!C31,'سال 1394'!C31,'سال 1395'!C31,'سال 1396'!C31,'سال 1397'!C31,'سال 1398'!C31,'سال 1399'!C31,'سال 1400'!C31,'سال 1401'!C31,'سال 1402'!C31,'سال 1403'!C31)-MIN('سال 1392'!C31,'سال 1393'!C31,'سال 1394'!C31,'سال 1395'!C31,'سال 1396'!C31,'سال 1397'!C31,'سال 1398'!C31,'سال 1399'!C31,'سال 1400'!C31,'سال 1401'!C31,'سال 1402'!C31,'سال 1403'!C31)</ns0:f>
        <ns0:v>0.02501803075658854</ns0:v>
      </ns0:c>
      <ns0:c r="D121" s="75">
        <ns0:f>MAX('سال 1392'!D31,'سال 1393'!D31,'سال 1394'!D31,'سال 1395'!D31,'سال 1396'!D31,'سال 1397'!D31,'سال 1398'!D31,'سال 1399'!D31,'سال 1400'!D31,'سال 1401'!D31,'سال 1402'!D31,'سال 1403'!D31)-MIN('سال 1392'!D31,'سال 1393'!D31,'سال 1394'!D31,'سال 1395'!D31,'سال 1396'!D31,'سال 1397'!D31,'سال 1398'!D31,'سال 1399'!D31,'سال 1400'!D31,'سال 1401'!D31,'سال 1402'!D31,'سال 1403'!D31)</ns0:f>
        <ns0:v>0.03176276304501501</ns0:v>
      </ns0:c>
      <ns0:c r="E121" s="75">
        <ns0:f>MAX('سال 1392'!E31,'سال 1393'!E31,'سال 1394'!E31,'سال 1395'!E31,'سال 1396'!E31,'سال 1397'!E31,'سال 1398'!E31,'سال 1399'!E31,'سال 1400'!E31,'سال 1401'!E31,'سال 1402'!E31,'سال 1403'!E31)-MIN('سال 1392'!E31,'سال 1393'!E31,'سال 1394'!E31,'سال 1395'!E31,'سال 1396'!E31,'سال 1397'!E31,'سال 1398'!E31,'سال 1399'!E31,'سال 1400'!E31,'سال 1401'!E31,'سال 1402'!E31,'سال 1403'!E31)</ns0:f>
        <ns0:v>0.01942463205882606</ns0:v>
      </ns0:c>
      <ns0:c r="F121" s="75">
        <ns0:f>MAX('سال 1392'!F31,'سال 1393'!F31,'سال 1394'!F31,'سال 1395'!F31,'سال 1396'!F31,'سال 1397'!F31,'سال 1398'!F31,'سال 1399'!F31,'سال 1400'!F31,'سال 1401'!F31,'سال 1402'!F31,'سال 1403'!F31)-MIN('سال 1392'!F31,'سال 1393'!F31,'سال 1394'!F31,'سال 1395'!F31,'سال 1396'!F31,'سال 1397'!F31,'سال 1398'!F31,'سال 1399'!F31,'سال 1400'!F31,'سال 1401'!F31,'سال 1402'!F31,'سال 1403'!F31)</ns0:f>
        <ns0:v>0.024184216905264927</ns0:v>
      </ns0:c>
      <ns0:c r="G121" s="74">
        <ns0:f>MAX('سال 1392'!G31,'سال 1393'!G31,'سال 1394'!G31,'سال 1395'!G31,'سال 1396'!G31,'سال 1397'!G31,'سال 1398'!G31,'سال 1399'!G31,'سال 1400'!G31,'سال 1401'!G31,'سال 1402'!G31,'سال 1403'!G31)-MIN('سال 1392'!G31,'سال 1393'!G31,'سال 1394'!G31,'سال 1395'!G31,'سال 1396'!G31,'سال 1397'!G31,'سال 1398'!G31,'سال 1399'!G31,'سال 1400'!G31,'سال 1401'!G31,'سال 1402'!G31,'سال 1403'!G31)</ns0:f>
        <ns0:v>0.08790840384225307</ns0:v>
      </ns0:c>
      <ns0:c r="H121" s="75">
        <ns0:f>MAX('سال 1392'!H31,'سال 1393'!H31,'سال 1394'!H31,'سال 1395'!H31,'سال 1396'!H31,'سال 1397'!H31,'سال 1398'!H31,'سال 1399'!H31,'سال 1400'!H31,'سال 1401'!H31,'سال 1402'!H31,'سال 1403'!H31)-MIN('سال 1392'!H31,'سال 1393'!H31,'سال 1394'!H31,'سال 1395'!H31,'سال 1396'!H31,'سال 1397'!H31,'سال 1398'!H31,'سال 1399'!H31,'سال 1400'!H31,'سال 1401'!H31,'سال 1402'!H31,'سال 1403'!H31)</ns0:f>
        <ns0:v>0.019506612078032004</ns0:v>
      </ns0:c>
      <ns0:c r="I121" s="75">
        <ns0:f>MAX('سال 1392'!I31,'سال 1393'!I31,'سال 1394'!I31,'سال 1395'!I31,'سال 1396'!I31,'سال 1397'!I31,'سال 1398'!I31,'سال 1399'!I31,'سال 1400'!I31,'سال 1401'!I31,'سال 1402'!I31,'سال 1403'!I31)-MIN('سال 1392'!I31,'سال 1393'!I31,'سال 1394'!I31,'سال 1395'!I31,'سال 1396'!I31,'سال 1397'!I31,'سال 1398'!I31,'سال 1399'!I31,'سال 1400'!I31,'سال 1401'!I31,'سال 1402'!I31,'سال 1403'!I31)</ns0:f>
        <ns0:v>0.02440450291784437</ns0:v>
      </ns0:c>
      <ns0:c r="J121" s="75">
        <ns0:f>MAX('سال 1392'!J31,'سال 1393'!J31,'سال 1394'!J31,'سال 1395'!J31,'سال 1396'!J31,'سال 1397'!J31,'سال 1398'!J31,'سال 1399'!J31,'سال 1400'!J31,'سال 1401'!J31,'سال 1402'!J31,'سال 1403'!J31)-MIN('سال 1392'!J31,'سال 1393'!J31,'سال 1394'!J31,'سال 1395'!J31,'سال 1396'!J31,'سال 1397'!J31,'سال 1398'!J31,'سال 1399'!J31,'سال 1400'!J31,'سال 1401'!J31,'سال 1402'!J31,'سال 1403'!J31)</ns0:f>
        <ns0:v>0.02084673213024793</ns0:v>
      </ns0:c>
      <ns0:c r="K121" s="75">
        <ns0:f>MAX('سال 1392'!K31,'سال 1393'!K31,'سال 1394'!K31,'سال 1395'!K31,'سال 1396'!K31,'سال 1397'!K31,'سال 1398'!K31,'سال 1399'!K31,'سال 1400'!K31,'سال 1401'!K31,'سال 1402'!K31,'سال 1403'!K31)-MIN('سال 1392'!K31,'سال 1393'!K31,'سال 1394'!K31,'سال 1395'!K31,'سال 1396'!K31,'سال 1397'!K31,'سال 1398'!K31,'سال 1399'!K31,'سال 1400'!K31,'سال 1401'!K31,'سال 1402'!K31,'سال 1403'!K31)</ns0:f>
        <ns0:v>0.025434027381264636</ns0:v>
      </ns0:c>
      <ns0:c r="L121" s="75">
        <ns0:f>MAX('سال 1392'!L31,'سال 1393'!L31,'سال 1394'!L31,'سال 1395'!L31,'سال 1396'!L31,'سال 1397'!L31,'سال 1398'!L31,'سال 1399'!L31,'سال 1400'!L31,'سال 1401'!L31,'سال 1402'!L31,'سال 1403'!L31)-MIN('سال 1392'!L31,'سال 1393'!L31,'سال 1394'!L31,'سال 1395'!L31,'سال 1396'!L31,'سال 1397'!L31,'سال 1398'!L31,'سال 1399'!L31,'سال 1400'!L31,'سال 1401'!L31,'سال 1402'!L31,'سال 1403'!L31)</ns0:f>
        <ns0:v>0.004649591647587419</ns0:v>
      </ns0:c>
      <ns0:c r="M121" s="75">
        <ns0:f>MAX('سال 1392'!M31,'سال 1393'!M31,'سال 1394'!M31,'سال 1395'!M31,'سال 1396'!M31,'سال 1397'!M31,'سال 1398'!M31,'سال 1399'!M31,'سال 1400'!M31,'سال 1401'!M31,'سال 1402'!M31,'سال 1403'!M31)-MIN('سال 1392'!M31,'سال 1393'!M31,'سال 1394'!M31,'سال 1395'!M31,'سال 1396'!M31,'سال 1397'!M31,'سال 1398'!M31,'سال 1399'!M31,'سال 1400'!M31,'سال 1401'!M31,'سال 1402'!M31,'سال 1403'!M31)</ns0:f>
        <ns0:v>0.01387146291127015</ns0:v>
      </ns0:c>
    </ns0:row>
    <ns0:row r="122" ht="30" customHeight="1">
      <ns0:c r="A122" s="73" t="inlineStr">
        <ns0:is>
          <ns0:t>سبزیجات و سیب‌زمینی</ns0:t>
        </ns0:is>
      </ns0:c>
      <ns0:c r="B122" s="75">
        <ns0:f>MAX('سال 1392'!B32,'سال 1393'!B32,'سال 1394'!B32,'سال 1395'!B32,'سال 1396'!B32,'سال 1397'!B32,'سال 1398'!B32,'سال 1399'!B32,'سال 1400'!B32,'سال 1401'!B32,'سال 1402'!B32,'سال 1403'!B32)-MIN('سال 1392'!B32,'سال 1393'!B32,'سال 1394'!B32,'سال 1395'!B32,'سال 1396'!B32,'سال 1397'!B32,'سال 1398'!B32,'سال 1399'!B32,'سال 1400'!B32,'سال 1401'!B32,'سال 1402'!B32,'سال 1403'!B32)</ns0:f>
        <ns0:v>0.007785935189617775</ns0:v>
      </ns0:c>
      <ns0:c r="C122" s="75">
        <ns0:f>MAX('سال 1392'!C32,'سال 1393'!C32,'سال 1394'!C32,'سال 1395'!C32,'سال 1396'!C32,'سال 1397'!C32,'سال 1398'!C32,'سال 1399'!C32,'سال 1400'!C32,'سال 1401'!C32,'سال 1402'!C32,'سال 1403'!C32)-MIN('سال 1392'!C32,'سال 1393'!C32,'سال 1394'!C32,'سال 1395'!C32,'سال 1396'!C32,'سال 1397'!C32,'سال 1398'!C32,'سال 1399'!C32,'سال 1400'!C32,'سال 1401'!C32,'سال 1402'!C32,'سال 1403'!C32)</ns0:f>
        <ns0:v>0.025430042607799866</ns0:v>
      </ns0:c>
      <ns0:c r="D122" s="75">
        <ns0:f>MAX('سال 1392'!D32,'سال 1393'!D32,'سال 1394'!D32,'سال 1395'!D32,'سال 1396'!D32,'سال 1397'!D32,'سال 1398'!D32,'سال 1399'!D32,'سال 1400'!D32,'سال 1401'!D32,'سال 1402'!D32,'سال 1403'!D32)-MIN('سال 1392'!D32,'سال 1393'!D32,'سال 1394'!D32,'سال 1395'!D32,'سال 1396'!D32,'سال 1397'!D32,'سال 1398'!D32,'سال 1399'!D32,'سال 1400'!D32,'سال 1401'!D32,'سال 1402'!D32,'سال 1403'!D32)</ns0:f>
        <ns0:v>0.04007078364410376</ns0:v>
      </ns0:c>
      <ns0:c r="E122" s="75">
        <ns0:f>MAX('سال 1392'!E32,'سال 1393'!E32,'سال 1394'!E32,'سال 1395'!E32,'سال 1396'!E32,'سال 1397'!E32,'سال 1398'!E32,'سال 1399'!E32,'سال 1400'!E32,'سال 1401'!E32,'سال 1402'!E32,'سال 1403'!E32)-MIN('سال 1392'!E32,'سال 1393'!E32,'سال 1394'!E32,'سال 1395'!E32,'سال 1396'!E32,'سال 1397'!E32,'سال 1398'!E32,'سال 1399'!E32,'سال 1400'!E32,'سال 1401'!E32,'سال 1402'!E32,'سال 1403'!E32)</ns0:f>
        <ns0:v>0.052971265653478775</ns0:v>
      </ns0:c>
      <ns0:c r="F122" s="75">
        <ns0:f>MAX('سال 1392'!F32,'سال 1393'!F32,'سال 1394'!F32,'سال 1395'!F32,'سال 1396'!F32,'سال 1397'!F32,'سال 1398'!F32,'سال 1399'!F32,'سال 1400'!F32,'سال 1401'!F32,'سال 1402'!F32,'سال 1403'!F32)-MIN('سال 1392'!F32,'سال 1393'!F32,'سال 1394'!F32,'سال 1395'!F32,'سال 1396'!F32,'سال 1397'!F32,'سال 1398'!F32,'سال 1399'!F32,'سال 1400'!F32,'سال 1401'!F32,'سال 1402'!F32,'سال 1403'!F32)</ns0:f>
        <ns0:v>0.00899061314227071</ns0:v>
      </ns0:c>
      <ns0:c r="G122" s="75">
        <ns0:f>MAX('سال 1392'!G32,'سال 1393'!G32,'سال 1394'!G32,'سال 1395'!G32,'سال 1396'!G32,'سال 1397'!G32,'سال 1398'!G32,'سال 1399'!G32,'سال 1400'!G32,'سال 1401'!G32,'سال 1402'!G32,'سال 1403'!G32)-MIN('سال 1392'!G32,'سال 1393'!G32,'سال 1394'!G32,'سال 1395'!G32,'سال 1396'!G32,'سال 1397'!G32,'سال 1398'!G32,'سال 1399'!G32,'سال 1400'!G32,'سال 1401'!G32,'سال 1402'!G32,'سال 1403'!G32)</ns0:f>
        <ns0:v>0.019065492088545084</ns0:v>
      </ns0:c>
      <ns0:c r="H122" s="74">
        <ns0:f>MAX('سال 1392'!H32,'سال 1393'!H32,'سال 1394'!H32,'سال 1395'!H32,'سال 1396'!H32,'سال 1397'!H32,'سال 1398'!H32,'سال 1399'!H32,'سال 1400'!H32,'سال 1401'!H32,'سال 1402'!H32,'سال 1403'!H32)-MIN('سال 1392'!H32,'سال 1393'!H32,'سال 1394'!H32,'سال 1395'!H32,'سال 1396'!H32,'سال 1397'!H32,'سال 1398'!H32,'سال 1399'!H32,'سال 1400'!H32,'سال 1401'!H32,'سال 1402'!H32,'سال 1403'!H32)</ns0:f>
        <ns0:v>0.1722605699948383</ns0:v>
      </ns0:c>
      <ns0:c r="I122" s="75">
        <ns0:f>MAX('سال 1392'!I32,'سال 1393'!I32,'سال 1394'!I32,'سال 1395'!I32,'سال 1396'!I32,'سال 1397'!I32,'سال 1398'!I32,'سال 1399'!I32,'سال 1400'!I32,'سال 1401'!I32,'سال 1402'!I32,'سال 1403'!I32)-MIN('سال 1392'!I32,'سال 1393'!I32,'سال 1394'!I32,'سال 1395'!I32,'سال 1396'!I32,'سال 1397'!I32,'سال 1398'!I32,'سال 1399'!I32,'سال 1400'!I32,'سال 1401'!I32,'سال 1402'!I32,'سال 1403'!I32)</ns0:f>
        <ns0:v>0.006182006434617293</ns0:v>
      </ns0:c>
      <ns0:c r="J122" s="75">
        <ns0:f>MAX('سال 1392'!J32,'سال 1393'!J32,'سال 1394'!J32,'سال 1395'!J32,'سال 1396'!J32,'سال 1397'!J32,'سال 1398'!J32,'سال 1399'!J32,'سال 1400'!J32,'سال 1401'!J32,'سال 1402'!J32,'سال 1403'!J32)-MIN('سال 1392'!J32,'سال 1393'!J32,'سال 1394'!J32,'سال 1395'!J32,'سال 1396'!J32,'سال 1397'!J32,'سال 1398'!J32,'سال 1399'!J32,'سال 1400'!J32,'سال 1401'!J32,'سال 1402'!J32,'سال 1403'!J32)</ns0:f>
        <ns0:v>0.007777894529034471</ns0:v>
      </ns0:c>
      <ns0:c r="K122" s="75">
        <ns0:f>MAX('سال 1392'!K32,'سال 1393'!K32,'سال 1394'!K32,'سال 1395'!K32,'سال 1396'!K32,'سال 1397'!K32,'سال 1398'!K32,'سال 1399'!K32,'سال 1400'!K32,'سال 1401'!K32,'سال 1402'!K32,'سال 1403'!K32)-MIN('سال 1392'!K32,'سال 1393'!K32,'سال 1394'!K32,'سال 1395'!K32,'سال 1396'!K32,'سال 1397'!K32,'سال 1398'!K32,'سال 1399'!K32,'سال 1400'!K32,'سال 1401'!K32,'سال 1402'!K32,'سال 1403'!K32)</ns0:f>
        <ns0:v>0.023987611319975607</ns0:v>
      </ns0:c>
      <ns0:c r="L122" s="75">
        <ns0:f>MAX('سال 1392'!L32,'سال 1393'!L32,'سال 1394'!L32,'سال 1395'!L32,'سال 1396'!L32,'سال 1397'!L32,'سال 1398'!L32,'سال 1399'!L32,'سال 1400'!L32,'سال 1401'!L32,'سال 1402'!L32,'سال 1403'!L32)-MIN('سال 1392'!L32,'سال 1393'!L32,'سال 1394'!L32,'سال 1395'!L32,'سال 1396'!L32,'سال 1397'!L32,'سال 1398'!L32,'سال 1399'!L32,'سال 1400'!L32,'سال 1401'!L32,'سال 1402'!L32,'سال 1403'!L32)</ns0:f>
        <ns0:v>0.02217430723781294</ns0:v>
      </ns0:c>
      <ns0:c r="M122" s="75">
        <ns0:f>MAX('سال 1392'!M32,'سال 1393'!M32,'سال 1394'!M32,'سال 1395'!M32,'سال 1396'!M32,'سال 1397'!M32,'سال 1398'!M32,'سال 1399'!M32,'سال 1400'!M32,'سال 1401'!M32,'سال 1402'!M32,'سال 1403'!M32)-MIN('سال 1392'!M32,'سال 1393'!M32,'سال 1394'!M32,'سال 1395'!M32,'سال 1396'!M32,'سال 1397'!M32,'سال 1398'!M32,'سال 1399'!M32,'سال 1400'!M32,'سال 1401'!M32,'سال 1402'!M32,'سال 1403'!M32)</ns0:f>
        <ns0:v>0.01986889661144616</ns0:v>
      </ns0:c>
    </ns0:row>
    <ns0:row r="123" ht="30" customHeight="1">
      <ns0:c r="A123" s="73" t="inlineStr">
        <ns0:is>
          <ns0:t>حبوبات</ns0:t>
        </ns0:is>
      </ns0:c>
      <ns0:c r="B123" s="75">
        <ns0:f>MAX('سال 1392'!B33,'سال 1393'!B33,'سال 1394'!B33,'سال 1395'!B33,'سال 1396'!B33,'سال 1397'!B33,'سال 1398'!B33,'سال 1399'!B33,'سال 1400'!B33,'سال 1401'!B33,'سال 1402'!B33,'سال 1403'!B33)-MIN('سال 1392'!B33,'سال 1393'!B33,'سال 1394'!B33,'سال 1395'!B33,'سال 1396'!B33,'سال 1397'!B33,'سال 1398'!B33,'سال 1399'!B33,'سال 1400'!B33,'سال 1401'!B33,'سال 1402'!B33,'سال 1403'!B33)</ns0:f>
        <ns0:v>0.013138930959836308</ns0:v>
      </ns0:c>
      <ns0:c r="C123" s="75">
        <ns0:f>MAX('سال 1392'!C33,'سال 1393'!C33,'سال 1394'!C33,'سال 1395'!C33,'سال 1396'!C33,'سال 1397'!C33,'سال 1398'!C33,'سال 1399'!C33,'سال 1400'!C33,'سال 1401'!C33,'سال 1402'!C33,'سال 1403'!C33)-MIN('سال 1392'!C33,'سال 1393'!C33,'سال 1394'!C33,'سال 1395'!C33,'سال 1396'!C33,'سال 1397'!C33,'سال 1398'!C33,'سال 1399'!C33,'سال 1400'!C33,'سال 1401'!C33,'سال 1402'!C33,'سال 1403'!C33)</ns0:f>
        <ns0:v>0.040633319976115675</ns0:v>
      </ns0:c>
      <ns0:c r="D123" s="75">
        <ns0:f>MAX('سال 1392'!D33,'سال 1393'!D33,'سال 1394'!D33,'سال 1395'!D33,'سال 1396'!D33,'سال 1397'!D33,'سال 1398'!D33,'سال 1399'!D33,'سال 1400'!D33,'سال 1401'!D33,'سال 1402'!D33,'سال 1403'!D33)-MIN('سال 1392'!D33,'سال 1393'!D33,'سال 1394'!D33,'سال 1395'!D33,'سال 1396'!D33,'سال 1397'!D33,'سال 1398'!D33,'سال 1399'!D33,'سال 1400'!D33,'سال 1401'!D33,'سال 1402'!D33,'سال 1403'!D33)</ns0:f>
        <ns0:v>0.015618154139553274</ns0:v>
      </ns0:c>
      <ns0:c r="E123" s="75">
        <ns0:f>MAX('سال 1392'!E33,'سال 1393'!E33,'سال 1394'!E33,'سال 1395'!E33,'سال 1396'!E33,'سال 1397'!E33,'سال 1398'!E33,'سال 1399'!E33,'سال 1400'!E33,'سال 1401'!E33,'سال 1402'!E33,'سال 1403'!E33)-MIN('سال 1392'!E33,'سال 1393'!E33,'سال 1394'!E33,'سال 1395'!E33,'سال 1396'!E33,'سال 1397'!E33,'سال 1398'!E33,'سال 1399'!E33,'سال 1400'!E33,'سال 1401'!E33,'سال 1402'!E33,'سال 1403'!E33)</ns0:f>
        <ns0:v>0.03178639087245877</ns0:v>
      </ns0:c>
      <ns0:c r="F123" s="75">
        <ns0:f>MAX('سال 1392'!F33,'سال 1393'!F33,'سال 1394'!F33,'سال 1395'!F33,'سال 1396'!F33,'سال 1397'!F33,'سال 1398'!F33,'سال 1399'!F33,'سال 1400'!F33,'سال 1401'!F33,'سال 1402'!F33,'سال 1403'!F33)-MIN('سال 1392'!F33,'سال 1393'!F33,'سال 1394'!F33,'سال 1395'!F33,'سال 1396'!F33,'سال 1397'!F33,'سال 1398'!F33,'سال 1399'!F33,'سال 1400'!F33,'سال 1401'!F33,'سال 1402'!F33,'سال 1403'!F33)</ns0:f>
        <ns0:v>0.015606779035841623</ns0:v>
      </ns0:c>
      <ns0:c r="G123" s="75">
        <ns0:f>MAX('سال 1392'!G33,'سال 1393'!G33,'سال 1394'!G33,'سال 1395'!G33,'سال 1396'!G33,'سال 1397'!G33,'سال 1398'!G33,'سال 1399'!G33,'سال 1400'!G33,'سال 1401'!G33,'سال 1402'!G33,'سال 1403'!G33)-MIN('سال 1392'!G33,'سال 1393'!G33,'سال 1394'!G33,'سال 1395'!G33,'سال 1396'!G33,'سال 1397'!G33,'سال 1398'!G33,'سال 1399'!G33,'سال 1400'!G33,'سال 1401'!G33,'سال 1402'!G33,'سال 1403'!G33)</ns0:f>
        <ns0:v>0.014172681751762381</ns0:v>
      </ns0:c>
      <ns0:c r="H123" s="75">
        <ns0:f>MAX('سال 1392'!H33,'سال 1393'!H33,'سال 1394'!H33,'سال 1395'!H33,'سال 1396'!H33,'سال 1397'!H33,'سال 1398'!H33,'سال 1399'!H33,'سال 1400'!H33,'سال 1401'!H33,'سال 1402'!H33,'سال 1403'!H33)-MIN('سال 1392'!H33,'سال 1393'!H33,'سال 1394'!H33,'سال 1395'!H33,'سال 1396'!H33,'سال 1397'!H33,'سال 1398'!H33,'سال 1399'!H33,'سال 1400'!H33,'سال 1401'!H33,'سال 1402'!H33,'سال 1403'!H33)</ns0:f>
        <ns0:v>0.026961960106775096</ns0:v>
      </ns0:c>
      <ns0:c r="I123" s="74">
        <ns0:f>MAX('سال 1392'!I33,'سال 1393'!I33,'سال 1394'!I33,'سال 1395'!I33,'سال 1396'!I33,'سال 1397'!I33,'سال 1398'!I33,'سال 1399'!I33,'سال 1400'!I33,'سال 1401'!I33,'سال 1402'!I33,'سال 1403'!I33)-MIN('سال 1392'!I33,'سال 1393'!I33,'سال 1394'!I33,'سال 1395'!I33,'سال 1396'!I33,'سال 1397'!I33,'سال 1398'!I33,'سال 1399'!I33,'سال 1400'!I33,'سال 1401'!I33,'سال 1402'!I33,'سال 1403'!I33)</ns0:f>
        <ns0:v>0.03982409803103881</ns0:v>
      </ns0:c>
      <ns0:c r="J123" s="75">
        <ns0:f>MAX('سال 1392'!J33,'سال 1393'!J33,'سال 1394'!J33,'سال 1395'!J33,'سال 1396'!J33,'سال 1397'!J33,'سال 1398'!J33,'سال 1399'!J33,'سال 1400'!J33,'سال 1401'!J33,'سال 1402'!J33,'سال 1403'!J33)-MIN('سال 1392'!J33,'سال 1393'!J33,'سال 1394'!J33,'سال 1395'!J33,'سال 1396'!J33,'سال 1397'!J33,'سال 1398'!J33,'سال 1399'!J33,'سال 1400'!J33,'سال 1401'!J33,'سال 1402'!J33,'سال 1403'!J33)</ns0:f>
        <ns0:v>0.018019621663200883</ns0:v>
      </ns0:c>
      <ns0:c r="K123" s="75">
        <ns0:f>MAX('سال 1392'!K33,'سال 1393'!K33,'سال 1394'!K33,'سال 1395'!K33,'سال 1396'!K33,'سال 1397'!K33,'سال 1398'!K33,'سال 1399'!K33,'سال 1400'!K33,'سال 1401'!K33,'سال 1402'!K33,'سال 1403'!K33)-MIN('سال 1392'!K33,'سال 1393'!K33,'سال 1394'!K33,'سال 1395'!K33,'سال 1396'!K33,'سال 1397'!K33,'سال 1398'!K33,'سال 1399'!K33,'سال 1400'!K33,'سال 1401'!K33,'سال 1402'!K33,'سال 1403'!K33)</ns0:f>
        <ns0:v>0.031811804918565945</ns0:v>
      </ns0:c>
      <ns0:c r="L123" s="75">
        <ns0:f>MAX('سال 1392'!L33,'سال 1393'!L33,'سال 1394'!L33,'سال 1395'!L33,'سال 1396'!L33,'سال 1397'!L33,'سال 1398'!L33,'سال 1399'!L33,'سال 1400'!L33,'سال 1401'!L33,'سال 1402'!L33,'سال 1403'!L33)-MIN('سال 1392'!L33,'سال 1393'!L33,'سال 1394'!L33,'سال 1395'!L33,'سال 1396'!L33,'سال 1397'!L33,'سال 1398'!L33,'سال 1399'!L33,'سال 1400'!L33,'سال 1401'!L33,'سال 1402'!L33,'سال 1403'!L33)</ns0:f>
        <ns0:v>0.010919057600263172</ns0:v>
      </ns0:c>
      <ns0:c r="M123" s="75">
        <ns0:f>MAX('سال 1392'!M33,'سال 1393'!M33,'سال 1394'!M33,'سال 1395'!M33,'سال 1396'!M33,'سال 1397'!M33,'سال 1398'!M33,'سال 1399'!M33,'سال 1400'!M33,'سال 1401'!M33,'سال 1402'!M33,'سال 1403'!M33)-MIN('سال 1392'!M33,'سال 1393'!M33,'سال 1394'!M33,'سال 1395'!M33,'سال 1396'!M33,'سال 1397'!M33,'سال 1398'!M33,'سال 1399'!M33,'سال 1400'!M33,'سال 1401'!M33,'سال 1402'!M33,'سال 1403'!M33)</ns0:f>
        <ns0:v>0.007037579087971663</ns0:v>
      </ns0:c>
    </ns0:row>
    <ns0:row r="124" ht="30" customHeight="1">
      <ns0:c r="A124" s="73" t="inlineStr">
        <ns0:is>
          <ns0:t>مغزها، خشکبار و خرما</ns0:t>
        </ns0:is>
      </ns0:c>
      <ns0:c r="B124" s="75">
        <ns0:f>MAX('سال 1392'!B34,'سال 1393'!B34,'سال 1394'!B34,'سال 1395'!B34,'سال 1396'!B34,'سال 1397'!B34,'سال 1398'!B34,'سال 1399'!B34,'سال 1400'!B34,'سال 1401'!B34,'سال 1402'!B34,'سال 1403'!B34)-MIN('سال 1392'!B34,'سال 1393'!B34,'سال 1394'!B34,'سال 1395'!B34,'سال 1396'!B34,'سال 1397'!B34,'سال 1398'!B34,'سال 1399'!B34,'سال 1400'!B34,'سال 1401'!B34,'سال 1402'!B34,'سال 1403'!B34)</ns0:f>
        <ns0:v>0.053999187514519514</ns0:v>
      </ns0:c>
      <ns0:c r="C124" s="75">
        <ns0:f>MAX('سال 1392'!C34,'سال 1393'!C34,'سال 1394'!C34,'سال 1395'!C34,'سال 1396'!C34,'سال 1397'!C34,'سال 1398'!C34,'سال 1399'!C34,'سال 1400'!C34,'سال 1401'!C34,'سال 1402'!C34,'سال 1403'!C34)-MIN('سال 1392'!C34,'سال 1393'!C34,'سال 1394'!C34,'سال 1395'!C34,'سال 1396'!C34,'سال 1397'!C34,'سال 1398'!C34,'سال 1399'!C34,'سال 1400'!C34,'سال 1401'!C34,'سال 1402'!C34,'سال 1403'!C34)</ns0:f>
        <ns0:v>0.050599397626346194</ns0:v>
      </ns0:c>
      <ns0:c r="D124" s="75">
        <ns0:f>MAX('سال 1392'!D34,'سال 1393'!D34,'سال 1394'!D34,'سال 1395'!D34,'سال 1396'!D34,'سال 1397'!D34,'سال 1398'!D34,'سال 1399'!D34,'سال 1400'!D34,'سال 1401'!D34,'سال 1402'!D34,'سال 1403'!D34)-MIN('سال 1392'!D34,'سال 1393'!D34,'سال 1394'!D34,'سال 1395'!D34,'سال 1396'!D34,'سال 1397'!D34,'سال 1398'!D34,'سال 1399'!D34,'سال 1400'!D34,'سال 1401'!D34,'سال 1402'!D34,'سال 1403'!D34)</ns0:f>
        <ns0:v>0.1363405613724683</ns0:v>
      </ns0:c>
      <ns0:c r="E124" s="75">
        <ns0:f>MAX('سال 1392'!E34,'سال 1393'!E34,'سال 1394'!E34,'سال 1395'!E34,'سال 1396'!E34,'سال 1397'!E34,'سال 1398'!E34,'سال 1399'!E34,'سال 1400'!E34,'سال 1401'!E34,'سال 1402'!E34,'سال 1403'!E34)-MIN('سال 1392'!E34,'سال 1393'!E34,'سال 1394'!E34,'سال 1395'!E34,'سال 1396'!E34,'سال 1397'!E34,'سال 1398'!E34,'سال 1399'!E34,'سال 1400'!E34,'سال 1401'!E34,'سال 1402'!E34,'سال 1403'!E34)</ns0:f>
        <ns0:v>0.04611203798385616</ns0:v>
      </ns0:c>
      <ns0:c r="F124" s="75">
        <ns0:f>MAX('سال 1392'!F34,'سال 1393'!F34,'سال 1394'!F34,'سال 1395'!F34,'سال 1396'!F34,'سال 1397'!F34,'سال 1398'!F34,'سال 1399'!F34,'سال 1400'!F34,'سال 1401'!F34,'سال 1402'!F34,'سال 1403'!F34)-MIN('سال 1392'!F34,'سال 1393'!F34,'سال 1394'!F34,'سال 1395'!F34,'سال 1396'!F34,'سال 1397'!F34,'سال 1398'!F34,'سال 1399'!F34,'سال 1400'!F34,'سال 1401'!F34,'سال 1402'!F34,'سال 1403'!F34)</ns0:f>
        <ns0:v>0.03380776123107062</ns0:v>
      </ns0:c>
      <ns0:c r="G124" s="75">
        <ns0:f>MAX('سال 1392'!G34,'سال 1393'!G34,'سال 1394'!G34,'سال 1395'!G34,'سال 1396'!G34,'سال 1397'!G34,'سال 1398'!G34,'سال 1399'!G34,'سال 1400'!G34,'سال 1401'!G34,'سال 1402'!G34,'سال 1403'!G34)-MIN('سال 1392'!G34,'سال 1393'!G34,'سال 1394'!G34,'سال 1395'!G34,'سال 1396'!G34,'سال 1397'!G34,'سال 1398'!G34,'سال 1399'!G34,'سال 1400'!G34,'سال 1401'!G34,'سال 1402'!G34,'سال 1403'!G34)</ns0:f>
        <ns0:v>0.06941066975817653</ns0:v>
      </ns0:c>
      <ns0:c r="H124" s="75">
        <ns0:f>MAX('سال 1392'!H34,'سال 1393'!H34,'سال 1394'!H34,'سال 1395'!H34,'سال 1396'!H34,'سال 1397'!H34,'سال 1398'!H34,'سال 1399'!H34,'سال 1400'!H34,'سال 1401'!H34,'سال 1402'!H34,'سال 1403'!H34)-MIN('سال 1392'!H34,'سال 1393'!H34,'سال 1394'!H34,'سال 1395'!H34,'سال 1396'!H34,'سال 1397'!H34,'سال 1398'!H34,'سال 1399'!H34,'سال 1400'!H34,'سال 1401'!H34,'سال 1402'!H34,'سال 1403'!H34)</ns0:f>
        <ns0:v>0.060657963165938675</ns0:v>
      </ns0:c>
      <ns0:c r="I124" s="75">
        <ns0:f>MAX('سال 1392'!I34,'سال 1393'!I34,'سال 1394'!I34,'سال 1395'!I34,'سال 1396'!I34,'سال 1397'!I34,'سال 1398'!I34,'سال 1399'!I34,'سال 1400'!I34,'سال 1401'!I34,'سال 1402'!I34,'سال 1403'!I34)-MIN('سال 1392'!I34,'سال 1393'!I34,'سال 1394'!I34,'سال 1395'!I34,'سال 1396'!I34,'سال 1397'!I34,'سال 1398'!I34,'سال 1399'!I34,'سال 1400'!I34,'سال 1401'!I34,'سال 1402'!I34,'سال 1403'!I34)</ns0:f>
        <ns0:v>0.06022814931862164</ns0:v>
      </ns0:c>
      <ns0:c r="J124" s="74">
        <ns0:f>MAX('سال 1392'!J34,'سال 1393'!J34,'سال 1394'!J34,'سال 1395'!J34,'سال 1396'!J34,'سال 1397'!J34,'سال 1398'!J34,'سال 1399'!J34,'سال 1400'!J34,'سال 1401'!J34,'سال 1402'!J34,'سال 1403'!J34)-MIN('سال 1392'!J34,'سال 1393'!J34,'سال 1394'!J34,'سال 1395'!J34,'سال 1396'!J34,'سال 1397'!J34,'سال 1398'!J34,'سال 1399'!J34,'سال 1400'!J34,'سال 1401'!J34,'سال 1402'!J34,'سال 1403'!J34)</ns0:f>
        <ns0:v>0.08457387134781424</ns0:v>
      </ns0:c>
      <ns0:c r="K124" s="75">
        <ns0:f>MAX('سال 1392'!K34,'سال 1393'!K34,'سال 1394'!K34,'سال 1395'!K34,'سال 1396'!K34,'سال 1397'!K34,'سال 1398'!K34,'سال 1399'!K34,'سال 1400'!K34,'سال 1401'!K34,'سال 1402'!K34,'سال 1403'!K34)-MIN('سال 1392'!K34,'سال 1393'!K34,'سال 1394'!K34,'سال 1395'!K34,'سال 1396'!K34,'سال 1397'!K34,'سال 1398'!K34,'سال 1399'!K34,'سال 1400'!K34,'سال 1401'!K34,'سال 1402'!K34,'سال 1403'!K34)</ns0:f>
        <ns0:v>0.04409957111631259</ns0:v>
      </ns0:c>
      <ns0:c r="L124" s="75">
        <ns0:f>MAX('سال 1392'!L34,'سال 1393'!L34,'سال 1394'!L34,'سال 1395'!L34,'سال 1396'!L34,'سال 1397'!L34,'سال 1398'!L34,'سال 1399'!L34,'سال 1400'!L34,'سال 1401'!L34,'سال 1402'!L34,'سال 1403'!L34)-MIN('سال 1392'!L34,'سال 1393'!L34,'سال 1394'!L34,'سال 1395'!L34,'سال 1396'!L34,'سال 1397'!L34,'سال 1398'!L34,'سال 1399'!L34,'سال 1400'!L34,'سال 1401'!L34,'سال 1402'!L34,'سال 1403'!L34)</ns0:f>
        <ns0:v>0.05189657149455848</ns0:v>
      </ns0:c>
      <ns0:c r="M124" s="75">
        <ns0:f>MAX('سال 1392'!M34,'سال 1393'!M34,'سال 1394'!M34,'سال 1395'!M34,'سال 1396'!M34,'سال 1397'!M34,'سال 1398'!M34,'سال 1399'!M34,'سال 1400'!M34,'سال 1401'!M34,'سال 1402'!M34,'سال 1403'!M34)-MIN('سال 1392'!M34,'سال 1393'!M34,'سال 1394'!M34,'سال 1395'!M34,'سال 1396'!M34,'سال 1397'!M34,'سال 1398'!M34,'سال 1399'!M34,'سال 1400'!M34,'سال 1401'!M34,'سال 1402'!M34,'سال 1403'!M34)</ns0:f>
        <ns0:v>0.07870203143451548</ns0:v>
      </ns0:c>
    </ns0:row>
    <ns0:row r="125" ht="30" customHeight="1">
      <ns0:c r="A125" s="73" t="inlineStr">
        <ns0:is>
          <ns0:t>قند، شیرینی و تنقلات</ns0:t>
        </ns0:is>
      </ns0:c>
      <ns0:c r="B125" s="75">
        <ns0:f>MAX('سال 1392'!B35,'سال 1393'!B35,'سال 1394'!B35,'سال 1395'!B35,'سال 1396'!B35,'سال 1397'!B35,'سال 1398'!B35,'سال 1399'!B35,'سال 1400'!B35,'سال 1401'!B35,'سال 1402'!B35,'سال 1403'!B35)-MIN('سال 1392'!B35,'سال 1393'!B35,'سال 1394'!B35,'سال 1395'!B35,'سال 1396'!B35,'سال 1397'!B35,'سال 1398'!B35,'سال 1399'!B35,'سال 1400'!B35,'سال 1401'!B35,'سال 1402'!B35,'سال 1403'!B35)</ns0:f>
        <ns0:v>0.022338225267379955</ns0:v>
      </ns0:c>
      <ns0:c r="C125" s="75">
        <ns0:f>MAX('سال 1392'!C35,'سال 1393'!C35,'سال 1394'!C35,'سال 1395'!C35,'سال 1396'!C35,'سال 1397'!C35,'سال 1398'!C35,'سال 1399'!C35,'سال 1400'!C35,'سال 1401'!C35,'سال 1402'!C35,'سال 1403'!C35)-MIN('سال 1392'!C35,'سال 1393'!C35,'سال 1394'!C35,'سال 1395'!C35,'سال 1396'!C35,'سال 1397'!C35,'سال 1398'!C35,'سال 1399'!C35,'سال 1400'!C35,'سال 1401'!C35,'سال 1402'!C35,'سال 1403'!C35)</ns0:f>
        <ns0:v>0.022912699832970396</ns0:v>
      </ns0:c>
      <ns0:c r="D125" s="75">
        <ns0:f>MAX('سال 1392'!D35,'سال 1393'!D35,'سال 1394'!D35,'سال 1395'!D35,'سال 1396'!D35,'سال 1397'!D35,'سال 1398'!D35,'سال 1399'!D35,'سال 1400'!D35,'سال 1401'!D35,'سال 1402'!D35,'سال 1403'!D35)-MIN('سال 1392'!D35,'سال 1393'!D35,'سال 1394'!D35,'سال 1395'!D35,'سال 1396'!D35,'سال 1397'!D35,'سال 1398'!D35,'سال 1399'!D35,'سال 1400'!D35,'سال 1401'!D35,'سال 1402'!D35,'سال 1403'!D35)</ns0:f>
        <ns0:v>0.03244922904435225</ns0:v>
      </ns0:c>
      <ns0:c r="E125" s="75">
        <ns0:f>MAX('سال 1392'!E35,'سال 1393'!E35,'سال 1394'!E35,'سال 1395'!E35,'سال 1396'!E35,'سال 1397'!E35,'سال 1398'!E35,'سال 1399'!E35,'سال 1400'!E35,'سال 1401'!E35,'سال 1402'!E35,'سال 1403'!E35)-MIN('سال 1392'!E35,'سال 1393'!E35,'سال 1394'!E35,'سال 1395'!E35,'سال 1396'!E35,'سال 1397'!E35,'سال 1398'!E35,'سال 1399'!E35,'سال 1400'!E35,'سال 1401'!E35,'سال 1402'!E35,'سال 1403'!E35)</ns0:f>
        <ns0:v>0.012067746928250661</ns0:v>
      </ns0:c>
      <ns0:c r="F125" s="75">
        <ns0:f>MAX('سال 1392'!F35,'سال 1393'!F35,'سال 1394'!F35,'سال 1395'!F35,'سال 1396'!F35,'سال 1397'!F35,'سال 1398'!F35,'سال 1399'!F35,'سال 1400'!F35,'سال 1401'!F35,'سال 1402'!F35,'سال 1403'!F35)-MIN('سال 1392'!F35,'سال 1393'!F35,'سال 1394'!F35,'سال 1395'!F35,'سال 1396'!F35,'سال 1397'!F35,'سال 1398'!F35,'سال 1399'!F35,'سال 1400'!F35,'سال 1401'!F35,'سال 1402'!F35,'سال 1403'!F35)</ns0:f>
        <ns0:v>0.008029533976179212</ns0:v>
      </ns0:c>
      <ns0:c r="G125" s="75">
        <ns0:f>MAX('سال 1392'!G35,'سال 1393'!G35,'سال 1394'!G35,'سال 1395'!G35,'سال 1396'!G35,'سال 1397'!G35,'سال 1398'!G35,'سال 1399'!G35,'سال 1400'!G35,'سال 1401'!G35,'سال 1402'!G35,'سال 1403'!G35)-MIN('سال 1392'!G35,'سال 1393'!G35,'سال 1394'!G35,'سال 1395'!G35,'سال 1396'!G35,'سال 1397'!G35,'سال 1398'!G35,'سال 1399'!G35,'سال 1400'!G35,'سال 1401'!G35,'سال 1402'!G35,'سال 1403'!G35)</ns0:f>
        <ns0:v>0.015229525551523584</ns0:v>
      </ns0:c>
      <ns0:c r="H125" s="75">
        <ns0:f>MAX('سال 1392'!H35,'سال 1393'!H35,'سال 1394'!H35,'سال 1395'!H35,'سال 1396'!H35,'سال 1397'!H35,'سال 1398'!H35,'سال 1399'!H35,'سال 1400'!H35,'سال 1401'!H35,'سال 1402'!H35,'سال 1403'!H35)-MIN('سال 1392'!H35,'سال 1393'!H35,'سال 1394'!H35,'سال 1395'!H35,'سال 1396'!H35,'سال 1397'!H35,'سال 1398'!H35,'سال 1399'!H35,'سال 1400'!H35,'سال 1401'!H35,'سال 1402'!H35,'سال 1403'!H35)</ns0:f>
        <ns0:v>0.017181311741526803</ns0:v>
      </ns0:c>
      <ns0:c r="I125" s="75">
        <ns0:f>MAX('سال 1392'!I35,'سال 1393'!I35,'سال 1394'!I35,'سال 1395'!I35,'سال 1396'!I35,'سال 1397'!I35,'سال 1398'!I35,'سال 1399'!I35,'سال 1400'!I35,'سال 1401'!I35,'سال 1402'!I35,'سال 1403'!I35)-MIN('سال 1392'!I35,'سال 1393'!I35,'سال 1394'!I35,'سال 1395'!I35,'سال 1396'!I35,'سال 1397'!I35,'سال 1398'!I35,'سال 1399'!I35,'سال 1400'!I35,'سال 1401'!I35,'سال 1402'!I35,'سال 1403'!I35)</ns0:f>
        <ns0:v>0.002732422562524324</ns0:v>
      </ns0:c>
      <ns0:c r="J125" s="75">
        <ns0:f>MAX('سال 1392'!J35,'سال 1393'!J35,'سال 1394'!J35,'سال 1395'!J35,'سال 1396'!J35,'سال 1397'!J35,'سال 1398'!J35,'سال 1399'!J35,'سال 1400'!J35,'سال 1401'!J35,'سال 1402'!J35,'سال 1403'!J35)-MIN('سال 1392'!J35,'سال 1393'!J35,'سال 1394'!J35,'سال 1395'!J35,'سال 1396'!J35,'سال 1397'!J35,'سال 1398'!J35,'سال 1399'!J35,'سال 1400'!J35,'سال 1401'!J35,'سال 1402'!J35,'سال 1403'!J35)</ns0:f>
        <ns0:v>0.009938071101071207</ns0:v>
      </ns0:c>
      <ns0:c r="K125" s="74">
        <ns0:f>MAX('سال 1392'!K35,'سال 1393'!K35,'سال 1394'!K35,'سال 1395'!K35,'سال 1396'!K35,'سال 1397'!K35,'سال 1398'!K35,'سال 1399'!K35,'سال 1400'!K35,'سال 1401'!K35,'سال 1402'!K35,'سال 1403'!K35)-MIN('سال 1392'!K35,'سال 1393'!K35,'سال 1394'!K35,'سال 1395'!K35,'سال 1396'!K35,'سال 1397'!K35,'سال 1398'!K35,'سال 1399'!K35,'سال 1400'!K35,'سال 1401'!K35,'سال 1402'!K35,'سال 1403'!K35)</ns0:f>
        <ns0:v>0.11973962874909738</ns0:v>
      </ns0:c>
      <ns0:c r="L125" s="75">
        <ns0:f>MAX('سال 1392'!L35,'سال 1393'!L35,'سال 1394'!L35,'سال 1395'!L35,'سال 1396'!L35,'سال 1397'!L35,'سال 1398'!L35,'سال 1399'!L35,'سال 1400'!L35,'سال 1401'!L35,'سال 1402'!L35,'سال 1403'!L35)-MIN('سال 1392'!L35,'سال 1393'!L35,'سال 1394'!L35,'سال 1395'!L35,'سال 1396'!L35,'سال 1397'!L35,'سال 1398'!L35,'سال 1399'!L35,'سال 1400'!L35,'سال 1401'!L35,'سال 1402'!L35,'سال 1403'!L35)</ns0:f>
        <ns0:v>0.015639947178372866</ns0:v>
      </ns0:c>
      <ns0:c r="M125" s="75">
        <ns0:f>MAX('سال 1392'!M35,'سال 1393'!M35,'سال 1394'!M35,'سال 1395'!M35,'سال 1396'!M35,'سال 1397'!M35,'سال 1398'!M35,'سال 1399'!M35,'سال 1400'!M35,'سال 1401'!M35,'سال 1402'!M35,'سال 1403'!M35)-MIN('سال 1392'!M35,'سال 1393'!M35,'سال 1394'!M35,'سال 1395'!M35,'سال 1396'!M35,'سال 1397'!M35,'سال 1398'!M35,'سال 1399'!M35,'سال 1400'!M35,'سال 1401'!M35,'سال 1402'!M35,'سال 1403'!M35)</ns0:f>
        <ns0:v>0.006492870239158895</ns0:v>
      </ns0:c>
    </ns0:row>
    <ns0:row r="126" ht="30" customHeight="1">
      <ns0:c r="A126" s="73" t="inlineStr">
        <ns0:is>
          <ns0:t>نوشیدنی بدون نوشابه</ns0:t>
        </ns0:is>
      </ns0:c>
      <ns0:c r="B126" s="75">
        <ns0:f>MAX('سال 1392'!B36,'سال 1393'!B36,'سال 1394'!B36,'سال 1395'!B36,'سال 1396'!B36,'سال 1397'!B36,'سال 1398'!B36,'سال 1399'!B36,'سال 1400'!B36,'سال 1401'!B36,'سال 1402'!B36,'سال 1403'!B36)-MIN('سال 1392'!B36,'سال 1393'!B36,'سال 1394'!B36,'سال 1395'!B36,'سال 1396'!B36,'سال 1397'!B36,'سال 1398'!B36,'سال 1399'!B36,'سال 1400'!B36,'سال 1401'!B36,'سال 1402'!B36,'سال 1403'!B36)</ns0:f>
        <ns0:v>0.04063644072778219</ns0:v>
      </ns0:c>
      <ns0:c r="C126" s="75">
        <ns0:f>MAX('سال 1392'!C36,'سال 1393'!C36,'سال 1394'!C36,'سال 1395'!C36,'سال 1396'!C36,'سال 1397'!C36,'سال 1398'!C36,'سال 1399'!C36,'سال 1400'!C36,'سال 1401'!C36,'سال 1402'!C36,'سال 1403'!C36)-MIN('سال 1392'!C36,'سال 1393'!C36,'سال 1394'!C36,'سال 1395'!C36,'سال 1396'!C36,'سال 1397'!C36,'سال 1398'!C36,'سال 1399'!C36,'سال 1400'!C36,'سال 1401'!C36,'سال 1402'!C36,'سال 1403'!C36)</ns0:f>
        <ns0:v>0.04482128660215903</ns0:v>
      </ns0:c>
      <ns0:c r="D126" s="75">
        <ns0:f>MAX('سال 1392'!D36,'سال 1393'!D36,'سال 1394'!D36,'سال 1395'!D36,'سال 1396'!D36,'سال 1397'!D36,'سال 1398'!D36,'سال 1399'!D36,'سال 1400'!D36,'سال 1401'!D36,'سال 1402'!D36,'سال 1403'!D36)-MIN('سال 1392'!D36,'سال 1393'!D36,'سال 1394'!D36,'سال 1395'!D36,'سال 1396'!D36,'سال 1397'!D36,'سال 1398'!D36,'سال 1399'!D36,'سال 1400'!D36,'سال 1401'!D36,'سال 1402'!D36,'سال 1403'!D36)</ns0:f>
        <ns0:v>0.018653872100201134</ns0:v>
      </ns0:c>
      <ns0:c r="E126" s="75">
        <ns0:f>MAX('سال 1392'!E36,'سال 1393'!E36,'سال 1394'!E36,'سال 1395'!E36,'سال 1396'!E36,'سال 1397'!E36,'سال 1398'!E36,'سال 1399'!E36,'سال 1400'!E36,'سال 1401'!E36,'سال 1402'!E36,'سال 1403'!E36)-MIN('سال 1392'!E36,'سال 1393'!E36,'سال 1394'!E36,'سال 1395'!E36,'سال 1396'!E36,'سال 1397'!E36,'سال 1398'!E36,'سال 1399'!E36,'سال 1400'!E36,'سال 1401'!E36,'سال 1402'!E36,'سال 1403'!E36)</ns0:f>
        <ns0:v>0.05498066983958555</ns0:v>
      </ns0:c>
      <ns0:c r="F126" s="75">
        <ns0:f>MAX('سال 1392'!F36,'سال 1393'!F36,'سال 1394'!F36,'سال 1395'!F36,'سال 1396'!F36,'سال 1397'!F36,'سال 1398'!F36,'سال 1399'!F36,'سال 1400'!F36,'سال 1401'!F36,'سال 1402'!F36,'سال 1403'!F36)-MIN('سال 1392'!F36,'سال 1393'!F36,'سال 1394'!F36,'سال 1395'!F36,'سال 1396'!F36,'سال 1397'!F36,'سال 1398'!F36,'سال 1399'!F36,'سال 1400'!F36,'سال 1401'!F36,'سال 1402'!F36,'سال 1403'!F36)</ns0:f>
        <ns0:v>0.016213001869775964</ns0:v>
      </ns0:c>
      <ns0:c r="G126" s="75">
        <ns0:f>MAX('سال 1392'!G36,'سال 1393'!G36,'سال 1394'!G36,'سال 1395'!G36,'سال 1396'!G36,'سال 1397'!G36,'سال 1398'!G36,'سال 1399'!G36,'سال 1400'!G36,'سال 1401'!G36,'سال 1402'!G36,'سال 1403'!G36)-MIN('سال 1392'!G36,'سال 1393'!G36,'سال 1394'!G36,'سال 1395'!G36,'سال 1396'!G36,'سال 1397'!G36,'سال 1398'!G36,'سال 1399'!G36,'سال 1400'!G36,'سال 1401'!G36,'سال 1402'!G36,'سال 1403'!G36)</ns0:f>
        <ns0:v>0.010875204547170458</ns0:v>
      </ns0:c>
      <ns0:c r="H126" s="75">
        <ns0:f>MAX('سال 1392'!H36,'سال 1393'!H36,'سال 1394'!H36,'سال 1395'!H36,'سال 1396'!H36,'سال 1397'!H36,'سال 1398'!H36,'سال 1399'!H36,'سال 1400'!H36,'سال 1401'!H36,'سال 1402'!H36,'سال 1403'!H36)-MIN('سال 1392'!H36,'سال 1393'!H36,'سال 1394'!H36,'سال 1395'!H36,'سال 1396'!H36,'سال 1397'!H36,'سال 1398'!H36,'سال 1399'!H36,'سال 1400'!H36,'سال 1401'!H36,'سال 1402'!H36,'سال 1403'!H36)</ns0:f>
        <ns0:v>0.03014227846589765</ns0:v>
      </ns0:c>
      <ns0:c r="I126" s="75">
        <ns0:f>MAX('سال 1392'!I36,'سال 1393'!I36,'سال 1394'!I36,'سال 1395'!I36,'سال 1396'!I36,'سال 1397'!I36,'سال 1398'!I36,'سال 1399'!I36,'سال 1400'!I36,'سال 1401'!I36,'سال 1402'!I36,'سال 1403'!I36)-MIN('سال 1392'!I36,'سال 1393'!I36,'سال 1394'!I36,'سال 1395'!I36,'سال 1396'!I36,'سال 1397'!I36,'سال 1398'!I36,'سال 1399'!I36,'سال 1400'!I36,'سال 1401'!I36,'سال 1402'!I36,'سال 1403'!I36)</ns0:f>
        <ns0:v>0.018916530839774237</ns0:v>
      </ns0:c>
      <ns0:c r="J126" s="75">
        <ns0:f>MAX('سال 1392'!J36,'سال 1393'!J36,'سال 1394'!J36,'سال 1395'!J36,'سال 1396'!J36,'سال 1397'!J36,'سال 1398'!J36,'سال 1399'!J36,'سال 1400'!J36,'سال 1401'!J36,'سال 1402'!J36,'سال 1403'!J36)-MIN('سال 1392'!J36,'سال 1393'!J36,'سال 1394'!J36,'سال 1395'!J36,'سال 1396'!J36,'سال 1397'!J36,'سال 1398'!J36,'سال 1399'!J36,'سال 1400'!J36,'سال 1401'!J36,'سال 1402'!J36,'سال 1403'!J36)</ns0:f>
        <ns0:v>0.030823494240434554</ns0:v>
      </ns0:c>
      <ns0:c r="K126" s="75">
        <ns0:f>MAX('سال 1392'!K36,'سال 1393'!K36,'سال 1394'!K36,'سال 1395'!K36,'سال 1396'!K36,'سال 1397'!K36,'سال 1398'!K36,'سال 1399'!K36,'سال 1400'!K36,'سال 1401'!K36,'سال 1402'!K36,'سال 1403'!K36)-MIN('سال 1392'!K36,'سال 1393'!K36,'سال 1394'!K36,'سال 1395'!K36,'سال 1396'!K36,'سال 1397'!K36,'سال 1398'!K36,'سال 1399'!K36,'سال 1400'!K36,'سال 1401'!K36,'سال 1402'!K36,'سال 1403'!K36)</ns0:f>
        <ns0:v>0.047565893279559734</ns0:v>
      </ns0:c>
      <ns0:c r="L126" s="74">
        <ns0:f>MAX('سال 1392'!L36,'سال 1393'!L36,'سال 1394'!L36,'سال 1395'!L36,'سال 1396'!L36,'سال 1397'!L36,'سال 1398'!L36,'سال 1399'!L36,'سال 1400'!L36,'سال 1401'!L36,'سال 1402'!L36,'سال 1403'!L36)-MIN('سال 1392'!L36,'سال 1393'!L36,'سال 1394'!L36,'سال 1395'!L36,'سال 1396'!L36,'سال 1397'!L36,'سال 1398'!L36,'سال 1399'!L36,'سال 1400'!L36,'سال 1401'!L36,'سال 1402'!L36,'سال 1403'!L36)</ns0:f>
        <ns0:v>0.08254535749899439</ns0:v>
      </ns0:c>
      <ns0:c r="M126" s="75">
        <ns0:f>MAX('سال 1392'!M36,'سال 1393'!M36,'سال 1394'!M36,'سال 1395'!M36,'سال 1396'!M36,'سال 1397'!M36,'سال 1398'!M36,'سال 1399'!M36,'سال 1400'!M36,'سال 1401'!M36,'سال 1402'!M36,'سال 1403'!M36)-MIN('سال 1392'!M36,'سال 1393'!M36,'سال 1394'!M36,'سال 1395'!M36,'سال 1396'!M36,'سال 1397'!M36,'سال 1398'!M36,'سال 1399'!M36,'سال 1400'!M36,'سال 1401'!M36,'سال 1402'!M36,'سال 1403'!M36)</ns0:f>
        <ns0:v>0.032410853766751416</ns0:v>
      </ns0:c>
    </ns0:row>
    <ns0:row r="127" ht="30" customHeight="1">
      <ns0:c r="A127" s="73" t="inlineStr">
        <ns0:is>
          <ns0:t>ادویه و چاشنی</ns0:t>
        </ns0:is>
      </ns0:c>
      <ns0:c r="B127" s="75">
        <ns0:f>MAX('سال 1392'!B37,'سال 1393'!B37,'سال 1394'!B37,'سال 1395'!B37,'سال 1396'!B37,'سال 1397'!B37,'سال 1398'!B37,'سال 1399'!B37,'سال 1400'!B37,'سال 1401'!B37,'سال 1402'!B37,'سال 1403'!B37)-MIN('سال 1392'!B37,'سال 1393'!B37,'سال 1394'!B37,'سال 1395'!B37,'سال 1396'!B37,'سال 1397'!B37,'سال 1398'!B37,'سال 1399'!B37,'سال 1400'!B37,'سال 1401'!B37,'سال 1402'!B37,'سال 1403'!B37)</ns0:f>
        <ns0:v>0.055441577427351396</ns0:v>
      </ns0:c>
      <ns0:c r="C127" s="75">
        <ns0:f>MAX('سال 1392'!C37,'سال 1393'!C37,'سال 1394'!C37,'سال 1395'!C37,'سال 1396'!C37,'سال 1397'!C37,'سال 1398'!C37,'سال 1399'!C37,'سال 1400'!C37,'سال 1401'!C37,'سال 1402'!C37,'سال 1403'!C37)-MIN('سال 1392'!C37,'سال 1393'!C37,'سال 1394'!C37,'سال 1395'!C37,'سال 1396'!C37,'سال 1397'!C37,'سال 1398'!C37,'سال 1399'!C37,'سال 1400'!C37,'سال 1401'!C37,'سال 1402'!C37,'سال 1403'!C37)</ns0:f>
        <ns0:v>0.030026430954327554</ns0:v>
      </ns0:c>
      <ns0:c r="D127" s="75">
        <ns0:f>MAX('سال 1392'!D37,'سال 1393'!D37,'سال 1394'!D37,'سال 1395'!D37,'سال 1396'!D37,'سال 1397'!D37,'سال 1398'!D37,'سال 1399'!D37,'سال 1400'!D37,'سال 1401'!D37,'سال 1402'!D37,'سال 1403'!D37)-MIN('سال 1392'!D37,'سال 1393'!D37,'سال 1394'!D37,'سال 1395'!D37,'سال 1396'!D37,'سال 1397'!D37,'سال 1398'!D37,'سال 1399'!D37,'سال 1400'!D37,'سال 1401'!D37,'سال 1402'!D37,'سال 1403'!D37)</ns0:f>
        <ns0:v>0.04173912740679228</ns0:v>
      </ns0:c>
      <ns0:c r="E127" s="75">
        <ns0:f>MAX('سال 1392'!E37,'سال 1393'!E37,'سال 1394'!E37,'سال 1395'!E37,'سال 1396'!E37,'سال 1397'!E37,'سال 1398'!E37,'سال 1399'!E37,'سال 1400'!E37,'سال 1401'!E37,'سال 1402'!E37,'سال 1403'!E37)-MIN('سال 1392'!E37,'سال 1393'!E37,'سال 1394'!E37,'سال 1395'!E37,'سال 1396'!E37,'سال 1397'!E37,'سال 1398'!E37,'سال 1399'!E37,'سال 1400'!E37,'سال 1401'!E37,'سال 1402'!E37,'سال 1403'!E37)</ns0:f>
        <ns0:v>0.08684721783120919</ns0:v>
      </ns0:c>
      <ns0:c r="F127" s="75">
        <ns0:f>MAX('سال 1392'!F37,'سال 1393'!F37,'سال 1394'!F37,'سال 1395'!F37,'سال 1396'!F37,'سال 1397'!F37,'سال 1398'!F37,'سال 1399'!F37,'سال 1400'!F37,'سال 1401'!F37,'سال 1402'!F37,'سال 1403'!F37)-MIN('سال 1392'!F37,'سال 1393'!F37,'سال 1394'!F37,'سال 1395'!F37,'سال 1396'!F37,'سال 1397'!F37,'سال 1398'!F37,'سال 1399'!F37,'سال 1400'!F37,'سال 1401'!F37,'سال 1402'!F37,'سال 1403'!F37)</ns0:f>
        <ns0:v>0.009455245566000019</ns0:v>
      </ns0:c>
      <ns0:c r="G127" s="75">
        <ns0:f>MAX('سال 1392'!G37,'سال 1393'!G37,'سال 1394'!G37,'سال 1395'!G37,'سال 1396'!G37,'سال 1397'!G37,'سال 1398'!G37,'سال 1399'!G37,'سال 1400'!G37,'سال 1401'!G37,'سال 1402'!G37,'سال 1403'!G37)-MIN('سال 1392'!G37,'سال 1393'!G37,'سال 1394'!G37,'سال 1395'!G37,'سال 1396'!G37,'سال 1397'!G37,'سال 1398'!G37,'سال 1399'!G37,'سال 1400'!G37,'سال 1401'!G37,'سال 1402'!G37,'سال 1403'!G37)</ns0:f>
        <ns0:v>0.018144522235029388</ns0:v>
      </ns0:c>
      <ns0:c r="H127" s="75">
        <ns0:f>MAX('سال 1392'!H37,'سال 1393'!H37,'سال 1394'!H37,'سال 1395'!H37,'سال 1396'!H37,'سال 1397'!H37,'سال 1398'!H37,'سال 1399'!H37,'سال 1400'!H37,'سال 1401'!H37,'سال 1402'!H37,'سال 1403'!H37)-MIN('سال 1392'!H37,'سال 1393'!H37,'سال 1394'!H37,'سال 1395'!H37,'سال 1396'!H37,'سال 1397'!H37,'سال 1398'!H37,'سال 1399'!H37,'سال 1400'!H37,'سال 1401'!H37,'سال 1402'!H37,'سال 1403'!H37)</ns0:f>
        <ns0:v>0.01871053373627221</ns0:v>
      </ns0:c>
      <ns0:c r="I127" s="75">
        <ns0:f>MAX('سال 1392'!I37,'سال 1393'!I37,'سال 1394'!I37,'سال 1395'!I37,'سال 1396'!I37,'سال 1397'!I37,'سال 1398'!I37,'سال 1399'!I37,'سال 1400'!I37,'سال 1401'!I37,'سال 1402'!I37,'سال 1403'!I37)-MIN('سال 1392'!I37,'سال 1393'!I37,'سال 1394'!I37,'سال 1395'!I37,'سال 1396'!I37,'سال 1397'!I37,'سال 1398'!I37,'سال 1399'!I37,'سال 1400'!I37,'سال 1401'!I37,'سال 1402'!I37,'سال 1403'!I37)</ns0:f>
        <ns0:v>0.011793681697904956</ns0:v>
      </ns0:c>
      <ns0:c r="J127" s="75">
        <ns0:f>MAX('سال 1392'!J37,'سال 1393'!J37,'سال 1394'!J37,'سال 1395'!J37,'سال 1396'!J37,'سال 1397'!J37,'سال 1398'!J37,'سال 1399'!J37,'سال 1400'!J37,'سال 1401'!J37,'سال 1402'!J37,'سال 1403'!J37)-MIN('سال 1392'!J37,'سال 1393'!J37,'سال 1394'!J37,'سال 1395'!J37,'سال 1396'!J37,'سال 1397'!J37,'سال 1398'!J37,'سال 1399'!J37,'سال 1400'!J37,'سال 1401'!J37,'سال 1402'!J37,'سال 1403'!J37)</ns0:f>
        <ns0:v>0.05039930493428135</ns0:v>
      </ns0:c>
      <ns0:c r="K127" s="75">
        <ns0:f>MAX('سال 1392'!K37,'سال 1393'!K37,'سال 1394'!K37,'سال 1395'!K37,'سال 1396'!K37,'سال 1397'!K37,'سال 1398'!K37,'سال 1399'!K37,'سال 1400'!K37,'سال 1401'!K37,'سال 1402'!K37,'سال 1403'!K37)-MIN('سال 1392'!K37,'سال 1393'!K37,'سال 1394'!K37,'سال 1395'!K37,'سال 1396'!K37,'سال 1397'!K37,'سال 1398'!K37,'سال 1399'!K37,'سال 1400'!K37,'سال 1401'!K37,'سال 1402'!K37,'سال 1403'!K37)</ns0:f>
        <ns0:v>0.012139713273115305</ns0:v>
      </ns0:c>
      <ns0:c r="L127" s="75">
        <ns0:f>MAX('سال 1392'!L37,'سال 1393'!L37,'سال 1394'!L37,'سال 1395'!L37,'سال 1396'!L37,'سال 1397'!L37,'سال 1398'!L37,'سال 1399'!L37,'سال 1400'!L37,'سال 1401'!L37,'سال 1402'!L37,'سال 1403'!L37)-MIN('سال 1392'!L37,'سال 1393'!L37,'سال 1394'!L37,'سال 1395'!L37,'سال 1396'!L37,'سال 1397'!L37,'سال 1398'!L37,'سال 1399'!L37,'سال 1400'!L37,'سال 1401'!L37,'سال 1402'!L37,'سال 1403'!L37)</ns0:f>
        <ns0:v>0.015257268267315674</ns0:v>
      </ns0:c>
      <ns0:c r="M127" s="74">
        <ns0:f>MAX('سال 1392'!M37,'سال 1393'!M37,'سال 1394'!M37,'سال 1395'!M37,'سال 1396'!M37,'سال 1397'!M37,'سال 1398'!M37,'سال 1399'!M37,'سال 1400'!M37,'سال 1401'!M37,'سال 1402'!M37,'سال 1403'!M37)-MIN('سال 1392'!M37,'سال 1393'!M37,'سال 1394'!M37,'سال 1395'!M37,'سال 1396'!M37,'سال 1397'!M37,'سال 1398'!M37,'سال 1399'!M37,'سال 1400'!M37,'سال 1401'!M37,'سال 1402'!M37,'سال 1403'!M37)</ns0:f>
        <ns0:v>0.14001528922062767</ns0:v>
      </ns0:c>
    </ns0:row>
    <ns0:row r="131" ht="28" customHeight="1">
      <ns0:c r="A131" s="76" t="inlineStr">
        <ns0:is>
          <ns0:t>سالانه • کمینه کشش مارشالی ۱۲×۱۲ | B2</ns0:t>
        </ns0:is>
      </ns0:c>
      <ns0:c r="B131" s="1" t="n"/>
      <ns0:c r="C131" s="1" t="n"/>
      <ns0:c r="D131" s="1" t="n"/>
      <ns0:c r="E131" s="1" t="n"/>
      <ns0:c r="F131" s="1" t="n"/>
      <ns0:c r="G131" s="1" t="n"/>
      <ns0:c r="H131" s="1" t="n"/>
      <ns0:c r="I131" s="1" t="n"/>
      <ns0:c r="J131" s="1" t="n"/>
      <ns0:c r="K131" s="1" t="n"/>
      <ns0:c r="L131" s="1" t="n"/>
      <ns0:c r="M131" s="1" t="n"/>
    </ns0:row>
    <ns0:row r="132" ht="58" customHeight="1">
      <ns0:c r="A132" s="72" t="inlineStr">
        <ns0:is>
          <ns0:t>گروه تقاضا ↓ / گروه قیمت →</ns0:t>
        </ns0:is>
      </ns0:c>
      <ns0:c r="B132" s="72" t="inlineStr">
        <ns0:is>
          <ns0:t>برنج</ns0:t>
        </ns0:is>
      </ns0:c>
      <ns0:c r="C132" s="72" t="inlineStr">
        <ns0:is>
          <ns0:t>نان و غلات</ns0:t>
        </ns0:is>
      </ns0:c>
      <ns0:c r="D132" s="72" t="inlineStr">
        <ns0:is>
          <ns0:t>گوشت</ns0:t>
        </ns0:is>
      </ns0:c>
      <ns0:c r="E132" s="72" t="inlineStr">
        <ns0:is>
          <ns0:t>لبنیات و تخم‌مرغ</ns0:t>
        </ns0:is>
      </ns0:c>
      <ns0:c r="F132" s="72" t="inlineStr">
        <ns0:is>
          <ns0:t>روغن و چربی</ns0:t>
        </ns0:is>
      </ns0:c>
      <ns0:c r="G132" s="72" t="inlineStr">
        <ns0:is>
          <ns0:t>میوه</ns0:t>
        </ns0:is>
      </ns0:c>
      <ns0:c r="H132" s="72" t="inlineStr">
        <ns0:is>
          <ns0:t>سبزیجات و سیب‌زمینی</ns0:t>
        </ns0:is>
      </ns0:c>
      <ns0:c r="I132" s="72" t="inlineStr">
        <ns0:is>
          <ns0:t>حبوبات</ns0:t>
        </ns0:is>
      </ns0:c>
      <ns0:c r="J132" s="72" t="inlineStr">
        <ns0:is>
          <ns0:t>مغزها، خشکبار و خرما</ns0:t>
        </ns0:is>
      </ns0:c>
      <ns0:c r="K132" s="72" t="inlineStr">
        <ns0:is>
          <ns0:t>قند، شیرینی و تنقلات</ns0:t>
        </ns0:is>
      </ns0:c>
      <ns0:c r="L132" s="72" t="inlineStr">
        <ns0:is>
          <ns0:t>نوشیدنی بدون نوشابه</ns0:t>
        </ns0:is>
      </ns0:c>
      <ns0:c r="M132" s="72" t="inlineStr">
        <ns0:is>
          <ns0:t>ادویه و چاشنی</ns0:t>
        </ns0:is>
      </ns0:c>
    </ns0:row>
    <ns0:row r="133" ht="30" customHeight="1">
      <ns0:c r="A133" s="73" t="inlineStr">
        <ns0:is>
          <ns0:t>برنج</ns0:t>
        </ns0:is>
      </ns0:c>
      <ns0:c r="B133" s="77">
        <ns0:f>MIN('سال 1392'!B42,'سال 1393'!B42,'سال 1394'!B42,'سال 1395'!B42,'سال 1396'!B42,'سال 1397'!B42,'سال 1398'!B42,'سال 1399'!B42,'سال 1400'!B42,'سال 1401'!B42,'سال 1402'!B42,'سال 1403'!B42)</ns0:f>
        <ns0:v>-1.080884300493313</ns0:v>
      </ns0:c>
      <ns0:c r="C133" s="78">
        <ns0:f>MIN('سال 1392'!C42,'سال 1393'!C42,'سال 1394'!C42,'سال 1395'!C42,'سال 1396'!C42,'سال 1397'!C42,'سال 1398'!C42,'سال 1399'!C42,'سال 1400'!C42,'سال 1401'!C42,'سال 1402'!C42,'سال 1403'!C42)</ns0:f>
        <ns0:v>-0.026531698147905333</ns0:v>
      </ns0:c>
      <ns0:c r="D133" s="78">
        <ns0:f>MIN('سال 1392'!D42,'سال 1393'!D42,'سال 1394'!D42,'سال 1395'!D42,'سال 1396'!D42,'سال 1397'!D42,'سال 1398'!D42,'سال 1399'!D42,'سال 1400'!D42,'سال 1401'!D42,'سال 1402'!D42,'سال 1403'!D42)</ns0:f>
        <ns0:v>-0.1394623994889305</ns0:v>
      </ns0:c>
      <ns0:c r="E133" s="78">
        <ns0:f>MIN('سال 1392'!E42,'سال 1393'!E42,'سال 1394'!E42,'سال 1395'!E42,'سال 1396'!E42,'سال 1397'!E42,'سال 1398'!E42,'سال 1399'!E42,'سال 1400'!E42,'سال 1401'!E42,'سال 1402'!E42,'سال 1403'!E42)</ns0:f>
        <ns0:v>0.008223528266495118</ns0:v>
      </ns0:c>
      <ns0:c r="F133" s="78">
        <ns0:f>MIN('سال 1392'!F42,'سال 1393'!F42,'سال 1394'!F42,'سال 1395'!F42,'سال 1396'!F42,'سال 1397'!F42,'سال 1398'!F42,'سال 1399'!F42,'سال 1400'!F42,'سال 1401'!F42,'سال 1402'!F42,'سال 1403'!F42)</ns0:f>
        <ns0:v>-0.051250044012471956</ns0:v>
      </ns0:c>
      <ns0:c r="G133" s="78">
        <ns0:f>MIN('سال 1392'!G42,'سال 1393'!G42,'سال 1394'!G42,'سال 1395'!G42,'سال 1396'!G42,'سال 1397'!G42,'سال 1398'!G42,'سال 1399'!G42,'سال 1400'!G42,'سال 1401'!G42,'سال 1402'!G42,'سال 1403'!G42)</ns0:f>
        <ns0:v>-0.08633015060829392</ns0:v>
      </ns0:c>
      <ns0:c r="H133" s="78">
        <ns0:f>MIN('سال 1392'!H42,'سال 1393'!H42,'سال 1394'!H42,'سال 1395'!H42,'سال 1396'!H42,'سال 1397'!H42,'سال 1398'!H42,'سال 1399'!H42,'سال 1400'!H42,'سال 1401'!H42,'سال 1402'!H42,'سال 1403'!H42)</ns0:f>
        <ns0:v>-0.11009136500441806</ns0:v>
      </ns0:c>
      <ns0:c r="I133" s="78">
        <ns0:f>MIN('سال 1392'!I42,'سال 1393'!I42,'سال 1394'!I42,'سال 1395'!I42,'سال 1396'!I42,'سال 1397'!I42,'سال 1398'!I42,'سال 1399'!I42,'سال 1400'!I42,'سال 1401'!I42,'سال 1402'!I42,'سال 1403'!I42)</ns0:f>
        <ns0:v>-0.0396382302459139</ns0:v>
      </ns0:c>
      <ns0:c r="J133" s="78">
        <ns0:f>MIN('سال 1392'!J42,'سال 1393'!J42,'سال 1394'!J42,'سال 1395'!J42,'سال 1396'!J42,'سال 1397'!J42,'سال 1398'!J42,'سال 1399'!J42,'سال 1400'!J42,'سال 1401'!J42,'سال 1402'!J42,'سال 1403'!J42)</ns0:f>
        <ns0:v>-0.021075828350040276</ns0:v>
      </ns0:c>
      <ns0:c r="K133" s="78">
        <ns0:f>MIN('سال 1392'!K42,'سال 1393'!K42,'سال 1394'!K42,'سال 1395'!K42,'سال 1396'!K42,'سال 1397'!K42,'سال 1398'!K42,'سال 1399'!K42,'سال 1400'!K42,'سال 1401'!K42,'سال 1402'!K42,'سال 1403'!K42)</ns0:f>
        <ns0:v>-0.09546209419614018</ns0:v>
      </ns0:c>
      <ns0:c r="L133" s="78">
        <ns0:f>MIN('سال 1392'!L42,'سال 1393'!L42,'سال 1394'!L42,'سال 1395'!L42,'سال 1396'!L42,'سال 1397'!L42,'سال 1398'!L42,'سال 1399'!L42,'سال 1400'!L42,'سال 1401'!L42,'سال 1402'!L42,'سال 1403'!L42)</ns0:f>
        <ns0:v>-0.13197034204632088</ns0:v>
      </ns0:c>
      <ns0:c r="M133" s="78">
        <ns0:f>MIN('سال 1392'!M42,'سال 1393'!M42,'سال 1394'!M42,'سال 1395'!M42,'سال 1396'!M42,'سال 1397'!M42,'سال 1398'!M42,'سال 1399'!M42,'سال 1400'!M42,'سال 1401'!M42,'سال 1402'!M42,'سال 1403'!M42)</ns0:f>
        <ns0:v>0.040334828228882014</ns0:v>
      </ns0:c>
    </ns0:row>
    <ns0:row r="134" ht="30" customHeight="1">
      <ns0:c r="A134" s="73" t="inlineStr">
        <ns0:is>
          <ns0:t>نان و غلات</ns0:t>
        </ns0:is>
      </ns0:c>
      <ns0:c r="B134" s="78">
        <ns0:f>MIN('سال 1392'!B43,'سال 1393'!B43,'سال 1394'!B43,'سال 1395'!B43,'سال 1396'!B43,'سال 1397'!B43,'سال 1398'!B43,'سال 1399'!B43,'سال 1400'!B43,'سال 1401'!B43,'سال 1402'!B43,'سال 1403'!B43)</ns0:f>
        <ns0:v>0.0918321207816281</ns0:v>
      </ns0:c>
      <ns0:c r="C134" s="77">
        <ns0:f>MIN('سال 1392'!C43,'سال 1393'!C43,'سال 1394'!C43,'سال 1395'!C43,'سال 1396'!C43,'سال 1397'!C43,'سال 1398'!C43,'سال 1399'!C43,'سال 1400'!C43,'سال 1401'!C43,'سال 1402'!C43,'سال 1403'!C43)</ns0:f>
        <ns0:v>-0.7199728271022054</ns0:v>
      </ns0:c>
      <ns0:c r="D134" s="78">
        <ns0:f>MIN('سال 1392'!D43,'سال 1393'!D43,'سال 1394'!D43,'سال 1395'!D43,'سال 1396'!D43,'سال 1397'!D43,'سال 1398'!D43,'سال 1399'!D43,'سال 1400'!D43,'سال 1401'!D43,'سال 1402'!D43,'سال 1403'!D43)</ns0:f>
        <ns0:v>0.1616594682413868</ns0:v>
      </ns0:c>
      <ns0:c r="E134" s="78">
        <ns0:f>MIN('سال 1392'!E43,'سال 1393'!E43,'سال 1394'!E43,'سال 1395'!E43,'سال 1396'!E43,'سال 1397'!E43,'سال 1398'!E43,'سال 1399'!E43,'سال 1400'!E43,'سال 1401'!E43,'سال 1402'!E43,'سال 1403'!E43)</ns0:f>
        <ns0:v>-0.1854617047369619</ns0:v>
      </ns0:c>
      <ns0:c r="F134" s="78">
        <ns0:f>MIN('سال 1392'!F43,'سال 1393'!F43,'سال 1394'!F43,'سال 1395'!F43,'سال 1396'!F43,'سال 1397'!F43,'سال 1398'!F43,'سال 1399'!F43,'سال 1400'!F43,'سال 1401'!F43,'سال 1402'!F43,'سال 1403'!F43)</ns0:f>
        <ns0:v>-0.01861453856793689</ns0:v>
      </ns0:c>
      <ns0:c r="G134" s="78">
        <ns0:f>MIN('سال 1392'!G43,'سال 1393'!G43,'سال 1394'!G43,'سال 1395'!G43,'سال 1396'!G43,'سال 1397'!G43,'سال 1398'!G43,'سال 1399'!G43,'سال 1400'!G43,'سال 1401'!G43,'سال 1402'!G43,'سال 1403'!G43)</ns0:f>
        <ns0:v>0.02053703479166967</ns0:v>
      </ns0:c>
      <ns0:c r="H134" s="78">
        <ns0:f>MIN('سال 1392'!H43,'سال 1393'!H43,'سال 1394'!H43,'سال 1395'!H43,'سال 1396'!H43,'سال 1397'!H43,'سال 1398'!H43,'سال 1399'!H43,'سال 1400'!H43,'سال 1401'!H43,'سال 1402'!H43,'سال 1403'!H43)</ns0:f>
        <ns0:v>-0.10054440915160107</ns0:v>
      </ns0:c>
      <ns0:c r="I134" s="78">
        <ns0:f>MIN('سال 1392'!I43,'سال 1393'!I43,'سال 1394'!I43,'سال 1395'!I43,'سال 1396'!I43,'سال 1397'!I43,'سال 1398'!I43,'سال 1399'!I43,'سال 1400'!I43,'سال 1401'!I43,'سال 1402'!I43,'سال 1403'!I43)</ns0:f>
        <ns0:v>0.02518664698620154</ns0:v>
      </ns0:c>
      <ns0:c r="J134" s="78">
        <ns0:f>MIN('سال 1392'!J43,'سال 1393'!J43,'سال 1394'!J43,'سال 1395'!J43,'سال 1396'!J43,'سال 1397'!J43,'سال 1398'!J43,'سال 1399'!J43,'سال 1400'!J43,'سال 1401'!J43,'سال 1402'!J43,'سال 1403'!J43)</ns0:f>
        <ns0:v>0.03285164992285801</ns0:v>
      </ns0:c>
      <ns0:c r="K134" s="78">
        <ns0:f>MIN('سال 1392'!K43,'سال 1393'!K43,'سال 1394'!K43,'سال 1395'!K43,'سال 1396'!K43,'سال 1397'!K43,'سال 1398'!K43,'سال 1399'!K43,'سال 1400'!K43,'سال 1401'!K43,'سال 1402'!K43,'سال 1403'!K43)</ns0:f>
        <ns0:v>-0.003875610994446972</ns0:v>
      </ns0:c>
      <ns0:c r="L134" s="78">
        <ns0:f>MIN('سال 1392'!L43,'سال 1393'!L43,'سال 1394'!L43,'سال 1395'!L43,'سال 1396'!L43,'سال 1397'!L43,'سال 1398'!L43,'سال 1399'!L43,'سال 1400'!L43,'سال 1401'!L43,'سال 1402'!L43,'سال 1403'!L43)</ns0:f>
        <ns0:v>0.06562141671275727</ns0:v>
      </ns0:c>
      <ns0:c r="M134" s="78">
        <ns0:f>MIN('سال 1392'!M43,'سال 1393'!M43,'سال 1394'!M43,'سال 1395'!M43,'سال 1396'!M43,'سال 1397'!M43,'سال 1398'!M43,'سال 1399'!M43,'سال 1400'!M43,'سال 1401'!M43,'سال 1402'!M43,'سال 1403'!M43)</ns0:f>
        <ns0:v>-0.06029751143110238</ns0:v>
      </ns0:c>
    </ns0:row>
    <ns0:row r="135" ht="30" customHeight="1">
      <ns0:c r="A135" s="73" t="inlineStr">
        <ns0:is>
          <ns0:t>گوشت</ns0:t>
        </ns0:is>
      </ns0:c>
      <ns0:c r="B135" s="78">
        <ns0:f>MIN('سال 1392'!B44,'سال 1393'!B44,'سال 1394'!B44,'سال 1395'!B44,'سال 1396'!B44,'سال 1397'!B44,'سال 1398'!B44,'سال 1399'!B44,'سال 1400'!B44,'سال 1401'!B44,'سال 1402'!B44,'سال 1403'!B44)</ns0:f>
        <ns0:v>-0.003086727698311571</ns0:v>
      </ns0:c>
      <ns0:c r="C135" s="78">
        <ns0:f>MIN('سال 1392'!C44,'سال 1393'!C44,'سال 1394'!C44,'سال 1395'!C44,'سال 1396'!C44,'سال 1397'!C44,'سال 1398'!C44,'سال 1399'!C44,'سال 1400'!C44,'سال 1401'!C44,'سال 1402'!C44,'سال 1403'!C44)</ns0:f>
        <ns0:v>0.013852056506185274</ns0:v>
      </ns0:c>
      <ns0:c r="D135" s="77">
        <ns0:f>MIN('سال 1392'!D44,'سال 1393'!D44,'سال 1394'!D44,'سال 1395'!D44,'سال 1396'!D44,'سال 1397'!D44,'سال 1398'!D44,'سال 1399'!D44,'سال 1400'!D44,'سال 1401'!D44,'سال 1402'!D44,'سال 1403'!D44)</ns0:f>
        <ns0:v>-0.9565228210149632</ns0:v>
      </ns0:c>
      <ns0:c r="E135" s="78">
        <ns0:f>MIN('سال 1392'!E44,'سال 1393'!E44,'سال 1394'!E44,'سال 1395'!E44,'سال 1396'!E44,'سال 1397'!E44,'سال 1398'!E44,'سال 1399'!E44,'سال 1400'!E44,'سال 1401'!E44,'سال 1402'!E44,'سال 1403'!E44)</ns0:f>
        <ns0:v>-0.027714550135827517</ns0:v>
      </ns0:c>
      <ns0:c r="F135" s="78">
        <ns0:f>MIN('سال 1392'!F44,'سال 1393'!F44,'سال 1394'!F44,'سال 1395'!F44,'سال 1396'!F44,'سال 1397'!F44,'سال 1398'!F44,'سال 1399'!F44,'سال 1400'!F44,'سال 1401'!F44,'سال 1402'!F44,'سال 1403'!F44)</ns0:f>
        <ns0:v>-0.08380835543791389</ns0:v>
      </ns0:c>
      <ns0:c r="G135" s="78">
        <ns0:f>MIN('سال 1392'!G44,'سال 1393'!G44,'سال 1394'!G44,'سال 1395'!G44,'سال 1396'!G44,'سال 1397'!G44,'سال 1398'!G44,'سال 1399'!G44,'سال 1400'!G44,'سال 1401'!G44,'سال 1402'!G44,'سال 1403'!G44)</ns0:f>
        <ns0:v>-0.005467470954163384</ns0:v>
      </ns0:c>
      <ns0:c r="H135" s="78">
        <ns0:f>MIN('سال 1392'!H44,'سال 1393'!H44,'سال 1394'!H44,'سال 1395'!H44,'سال 1396'!H44,'سال 1397'!H44,'سال 1398'!H44,'سال 1399'!H44,'سال 1400'!H44,'سال 1401'!H44,'سال 1402'!H44,'سال 1403'!H44)</ns0:f>
        <ns0:v>-0.09945663443533076</ns0:v>
      </ns0:c>
      <ns0:c r="I135" s="78">
        <ns0:f>MIN('سال 1392'!I44,'سال 1393'!I44,'سال 1394'!I44,'سال 1395'!I44,'سال 1396'!I44,'سال 1397'!I44,'سال 1398'!I44,'سال 1399'!I44,'سال 1400'!I44,'سال 1401'!I44,'سال 1402'!I44,'سال 1403'!I44)</ns0:f>
        <ns0:v>-0.022309652292318207</ns0:v>
      </ns0:c>
      <ns0:c r="J135" s="78">
        <ns0:f>MIN('سال 1392'!J44,'سال 1393'!J44,'سال 1394'!J44,'سال 1395'!J44,'سال 1396'!J44,'سال 1397'!J44,'سال 1398'!J44,'سال 1399'!J44,'سال 1400'!J44,'سال 1401'!J44,'سال 1402'!J44,'سال 1403'!J44)</ns0:f>
        <ns0:v>-0.04521152642500426</ns0:v>
      </ns0:c>
      <ns0:c r="K135" s="78">
        <ns0:f>MIN('سال 1392'!K44,'سال 1393'!K44,'سال 1394'!K44,'سال 1395'!K44,'سال 1396'!K44,'سال 1397'!K44,'سال 1398'!K44,'سال 1399'!K44,'سال 1400'!K44,'سال 1401'!K44,'سال 1402'!K44,'سال 1403'!K44)</ns0:f>
        <ns0:v>-0.004768065805490797</ns0:v>
      </ns0:c>
      <ns0:c r="L135" s="78">
        <ns0:f>MIN('سال 1392'!L44,'سال 1393'!L44,'سال 1394'!L44,'سال 1395'!L44,'سال 1396'!L44,'سال 1397'!L44,'سال 1398'!L44,'سال 1399'!L44,'سال 1400'!L44,'سال 1401'!L44,'سال 1402'!L44,'سال 1403'!L44)</ns0:f>
        <ns0:v>-0.04792010033242626</ns0:v>
      </ns0:c>
      <ns0:c r="M135" s="78">
        <ns0:f>MIN('سال 1392'!M44,'سال 1393'!M44,'سال 1394'!M44,'سال 1395'!M44,'سال 1396'!M44,'سال 1397'!M44,'سال 1398'!M44,'سال 1399'!M44,'سال 1400'!M44,'سال 1401'!M44,'سال 1402'!M44,'سال 1403'!M44)</ns0:f>
        <ns0:v>-0.04985720294486308</ns0:v>
      </ns0:c>
    </ns0:row>
    <ns0:row r="136" ht="30" customHeight="1">
      <ns0:c r="A136" s="73" t="inlineStr">
        <ns0:is>
          <ns0:t>لبنیات و تخم‌مرغ</ns0:t>
        </ns0:is>
      </ns0:c>
      <ns0:c r="B136" s="78">
        <ns0:f>MIN('سال 1392'!B45,'سال 1393'!B45,'سال 1394'!B45,'سال 1395'!B45,'سال 1396'!B45,'سال 1397'!B45,'سال 1398'!B45,'سال 1399'!B45,'سال 1400'!B45,'سال 1401'!B45,'سال 1402'!B45,'سال 1403'!B45)</ns0:f>
        <ns0:v>0.09205549996106441</ns0:v>
      </ns0:c>
      <ns0:c r="C136" s="78">
        <ns0:f>MIN('سال 1392'!C45,'سال 1393'!C45,'سال 1394'!C45,'سال 1395'!C45,'سال 1396'!C45,'سال 1397'!C45,'سال 1398'!C45,'سال 1399'!C45,'سال 1400'!C45,'سال 1401'!C45,'سال 1402'!C45,'سال 1403'!C45)</ns0:f>
        <ns0:v>-0.1867459223217237</ns0:v>
      </ns0:c>
      <ns0:c r="D136" s="78">
        <ns0:f>MIN('سال 1392'!D45,'سال 1393'!D45,'سال 1394'!D45,'سال 1395'!D45,'سال 1396'!D45,'سال 1397'!D45,'سال 1398'!D45,'سال 1399'!D45,'سال 1400'!D45,'سال 1401'!D45,'سال 1402'!D45,'سال 1403'!D45)</ns0:f>
        <ns0:v>0.051837339046231695</ns0:v>
      </ns0:c>
      <ns0:c r="E136" s="77">
        <ns0:f>MIN('سال 1392'!E45,'سال 1393'!E45,'سال 1394'!E45,'سال 1395'!E45,'سال 1396'!E45,'سال 1397'!E45,'سال 1398'!E45,'سال 1399'!E45,'سال 1400'!E45,'سال 1401'!E45,'سال 1402'!E45,'سال 1403'!E45)</ns0:f>
        <ns0:v>-0.819471419784505</ns0:v>
      </ns0:c>
      <ns0:c r="F136" s="78">
        <ns0:f>MIN('سال 1392'!F45,'سال 1393'!F45,'سال 1394'!F45,'سال 1395'!F45,'سال 1396'!F45,'سال 1397'!F45,'سال 1398'!F45,'سال 1399'!F45,'سال 1400'!F45,'سال 1401'!F45,'سال 1402'!F45,'سال 1403'!F45)</ns0:f>
        <ns0:v>-0.015172476088150266</ns0:v>
      </ns0:c>
      <ns0:c r="G136" s="78">
        <ns0:f>MIN('سال 1392'!G45,'سال 1393'!G45,'سال 1394'!G45,'سال 1395'!G45,'سال 1396'!G45,'سال 1397'!G45,'سال 1398'!G45,'سال 1399'!G45,'سال 1400'!G45,'سال 1401'!G45,'سال 1402'!G45,'سال 1403'!G45)</ns0:f>
        <ns0:v>0.02891668761683892</ns0:v>
      </ns0:c>
      <ns0:c r="H136" s="78">
        <ns0:f>MIN('سال 1392'!H45,'سال 1393'!H45,'سال 1394'!H45,'سال 1395'!H45,'سال 1396'!H45,'سال 1397'!H45,'سال 1398'!H45,'سال 1399'!H45,'سال 1400'!H45,'سال 1401'!H45,'سال 1402'!H45,'سال 1403'!H45)</ns0:f>
        <ns0:v>-0.15990789707905656</ns0:v>
      </ns0:c>
      <ns0:c r="I136" s="78">
        <ns0:f>MIN('سال 1392'!I45,'سال 1393'!I45,'سال 1394'!I45,'سال 1395'!I45,'سال 1396'!I45,'سال 1397'!I45,'سال 1398'!I45,'سال 1399'!I45,'سال 1400'!I45,'سال 1401'!I45,'سال 1402'!I45,'سال 1403'!I45)</ns0:f>
        <ns0:v>0.038207888196863625</ns0:v>
      </ns0:c>
      <ns0:c r="J136" s="78">
        <ns0:f>MIN('سال 1392'!J45,'سال 1393'!J45,'سال 1394'!J45,'سال 1395'!J45,'سال 1396'!J45,'سال 1397'!J45,'سال 1398'!J45,'سال 1399'!J45,'سال 1400'!J45,'سال 1401'!J45,'سال 1402'!J45,'سال 1403'!J45)</ns0:f>
        <ns0:v>0.08928866861070812</ns0:v>
      </ns0:c>
      <ns0:c r="K136" s="78">
        <ns0:f>MIN('سال 1392'!K45,'سال 1393'!K45,'سال 1394'!K45,'سال 1395'!K45,'سال 1396'!K45,'سال 1397'!K45,'سال 1398'!K45,'سال 1399'!K45,'سال 1400'!K45,'سال 1401'!K45,'سال 1402'!K45,'سال 1403'!K45)</ns0:f>
        <ns0:v>-0.05473529988594485</ns0:v>
      </ns0:c>
      <ns0:c r="L136" s="78">
        <ns0:f>MIN('سال 1392'!L45,'سال 1393'!L45,'سال 1394'!L45,'سال 1395'!L45,'سال 1396'!L45,'سال 1397'!L45,'سال 1398'!L45,'سال 1399'!L45,'سال 1400'!L45,'سال 1401'!L45,'سال 1402'!L45,'سال 1403'!L45)</ns0:f>
        <ns0:v>0.09355509008475982</ns0:v>
      </ns0:c>
      <ns0:c r="M136" s="78">
        <ns0:f>MIN('سال 1392'!M45,'سال 1393'!M45,'سال 1394'!M45,'سال 1395'!M45,'سال 1396'!M45,'سال 1397'!M45,'سال 1398'!M45,'سال 1399'!M45,'سال 1400'!M45,'سال 1401'!M45,'سال 1402'!M45,'سال 1403'!M45)</ns0:f>
        <ns0:v>-0.12206477047066433</ns0:v>
      </ns0:c>
    </ns0:row>
    <ns0:row r="137" ht="30" customHeight="1">
      <ns0:c r="A137" s="73" t="inlineStr">
        <ns0:is>
          <ns0:t>روغن و چربی</ns0:t>
        </ns0:is>
      </ns0:c>
      <ns0:c r="B137" s="78">
        <ns0:f>MIN('سال 1392'!B46,'سال 1393'!B46,'سال 1394'!B46,'سال 1395'!B46,'سال 1396'!B46,'سال 1397'!B46,'سال 1398'!B46,'سال 1399'!B46,'سال 1400'!B46,'سال 1401'!B46,'سال 1402'!B46,'سال 1403'!B46)</ns0:f>
        <ns0:v>-0.0005507783668168397</ns0:v>
      </ns0:c>
      <ns0:c r="C137" s="78">
        <ns0:f>MIN('سال 1392'!C46,'سال 1393'!C46,'سال 1394'!C46,'سال 1395'!C46,'سال 1396'!C46,'سال 1397'!C46,'سال 1398'!C46,'سال 1399'!C46,'سال 1400'!C46,'سال 1401'!C46,'سال 1402'!C46,'سال 1403'!C46)</ns0:f>
        <ns0:v>-0.11093406624817896</ns0:v>
      </ns0:c>
      <ns0:c r="D137" s="78">
        <ns0:f>MIN('سال 1392'!D46,'سال 1393'!D46,'سال 1394'!D46,'سال 1395'!D46,'سال 1396'!D46,'سال 1397'!D46,'سال 1398'!D46,'سال 1399'!D46,'سال 1400'!D46,'سال 1401'!D46,'سال 1402'!D46,'سال 1403'!D46)</ns0:f>
        <ns0:v>-0.23584561420308764</ns0:v>
      </ns0:c>
      <ns0:c r="E137" s="78">
        <ns0:f>MIN('سال 1392'!E46,'سال 1393'!E46,'سال 1394'!E46,'سال 1395'!E46,'سال 1396'!E46,'سال 1397'!E46,'سال 1398'!E46,'سال 1399'!E46,'سال 1400'!E46,'سال 1401'!E46,'سال 1402'!E46,'سال 1403'!E46)</ns0:f>
        <ns0:v>0.05759712695893836</ns0:v>
      </ns0:c>
      <ns0:c r="F137" s="77">
        <ns0:f>MIN('سال 1392'!F46,'سال 1393'!F46,'سال 1394'!F46,'سال 1395'!F46,'سال 1396'!F46,'سال 1397'!F46,'سال 1398'!F46,'سال 1399'!F46,'سال 1400'!F46,'سال 1401'!F46,'سال 1402'!F46,'سال 1403'!F46)</ns0:f>
        <ns0:v>-0.6156957436817826</ns0:v>
      </ns0:c>
      <ns0:c r="G137" s="78">
        <ns0:f>MIN('سال 1392'!G46,'سال 1393'!G46,'سال 1394'!G46,'سال 1395'!G46,'سال 1396'!G46,'سال 1397'!G46,'سال 1398'!G46,'سال 1399'!G46,'سال 1400'!G46,'سال 1401'!G46,'سال 1402'!G46,'سال 1403'!G46)</ns0:f>
        <ns0:v>-0.05794795720300626</ns0:v>
      </ns0:c>
      <ns0:c r="H137" s="78">
        <ns0:f>MIN('سال 1392'!H46,'سال 1393'!H46,'سال 1394'!H46,'سال 1395'!H46,'سال 1396'!H46,'سال 1397'!H46,'سال 1398'!H46,'سال 1399'!H46,'سال 1400'!H46,'سال 1401'!H46,'سال 1402'!H46,'سال 1403'!H46)</ns0:f>
        <ns0:v>-0.12475225680990533</ns0:v>
      </ns0:c>
      <ns0:c r="I137" s="78">
        <ns0:f>MIN('سال 1392'!I46,'سال 1393'!I46,'سال 1394'!I46,'سال 1395'!I46,'سال 1396'!I46,'سال 1397'!I46,'سال 1398'!I46,'سال 1399'!I46,'سال 1400'!I46,'سال 1401'!I46,'سال 1402'!I46,'سال 1403'!I46)</ns0:f>
        <ns0:v>-0.12922786622330124</ns0:v>
      </ns0:c>
      <ns0:c r="J137" s="78">
        <ns0:f>MIN('سال 1392'!J46,'سال 1393'!J46,'سال 1394'!J46,'سال 1395'!J46,'سال 1396'!J46,'سال 1397'!J46,'سال 1398'!J46,'سال 1399'!J46,'سال 1400'!J46,'سال 1401'!J46,'سال 1402'!J46,'سال 1403'!J46)</ns0:f>
        <ns0:v>0.02815697960885691</ns0:v>
      </ns0:c>
      <ns0:c r="K137" s="78">
        <ns0:f>MIN('سال 1392'!K46,'سال 1393'!K46,'سال 1394'!K46,'سال 1395'!K46,'سال 1396'!K46,'سال 1397'!K46,'سال 1398'!K46,'سال 1399'!K46,'سال 1400'!K46,'سال 1401'!K46,'سال 1402'!K46,'سال 1403'!K46)</ns0:f>
        <ns0:v>-0.018081155124278735</ns0:v>
      </ns0:c>
      <ns0:c r="L137" s="78">
        <ns0:f>MIN('سال 1392'!L46,'سال 1393'!L46,'سال 1394'!L46,'سال 1395'!L46,'سال 1396'!L46,'سال 1397'!L46,'سال 1398'!L46,'سال 1399'!L46,'سال 1400'!L46,'سال 1401'!L46,'سال 1402'!L46,'سال 1403'!L46)</ns0:f>
        <ns0:v>-0.10055306209457761</ns0:v>
      </ns0:c>
      <ns0:c r="M137" s="78">
        <ns0:f>MIN('سال 1392'!M46,'سال 1393'!M46,'سال 1394'!M46,'سال 1395'!M46,'سال 1396'!M46,'سال 1397'!M46,'سال 1398'!M46,'سال 1399'!M46,'سال 1400'!M46,'سال 1401'!M46,'سال 1402'!M46,'سال 1403'!M46)</ns0:f>
        <ns0:v>-0.027125509331238334</ns0:v>
      </ns0:c>
    </ns0:row>
    <ns0:row r="138" ht="30" customHeight="1">
      <ns0:c r="A138" s="73" t="inlineStr">
        <ns0:is>
          <ns0:t>میوه</ns0:t>
        </ns0:is>
      </ns0:c>
      <ns0:c r="B138" s="78">
        <ns0:f>MIN('سال 1392'!B47,'سال 1393'!B47,'سال 1394'!B47,'سال 1395'!B47,'سال 1396'!B47,'سال 1397'!B47,'سال 1398'!B47,'سال 1399'!B47,'سال 1400'!B47,'سال 1401'!B47,'سال 1402'!B47,'سال 1403'!B47)</ns0:f>
        <ns0:v>-0.16990271390832692</ns0:v>
      </ns0:c>
      <ns0:c r="C138" s="78">
        <ns0:f>MIN('سال 1392'!C47,'سال 1393'!C47,'سال 1394'!C47,'سال 1395'!C47,'سال 1396'!C47,'سال 1397'!C47,'سال 1398'!C47,'سال 1399'!C47,'سال 1400'!C47,'سال 1401'!C47,'سال 1402'!C47,'سال 1403'!C47)</ns0:f>
        <ns0:v>-0.01725116672901407</ns0:v>
      </ns0:c>
      <ns0:c r="D138" s="78">
        <ns0:f>MIN('سال 1392'!D47,'سال 1393'!D47,'سال 1394'!D47,'سال 1395'!D47,'سال 1396'!D47,'سال 1397'!D47,'سال 1398'!D47,'سال 1399'!D47,'سال 1400'!D47,'سال 1401'!D47,'سال 1402'!D47,'سال 1403'!D47)</ns0:f>
        <ns0:v>-0.016977197806621658</ns0:v>
      </ns0:c>
      <ns0:c r="E138" s="78">
        <ns0:f>MIN('سال 1392'!E47,'سال 1393'!E47,'سال 1394'!E47,'سال 1395'!E47,'سال 1396'!E47,'سال 1397'!E47,'سال 1398'!E47,'سال 1399'!E47,'سال 1400'!E47,'سال 1401'!E47,'سال 1402'!E47,'سال 1403'!E47)</ns0:f>
        <ns0:v>0.0406879763917296</ns0:v>
      </ns0:c>
      <ns0:c r="F138" s="78">
        <ns0:f>MIN('سال 1392'!F47,'سال 1393'!F47,'سال 1394'!F47,'سال 1395'!F47,'سال 1396'!F47,'سال 1397'!F47,'سال 1398'!F47,'سال 1399'!F47,'سال 1400'!F47,'سال 1401'!F47,'سال 1402'!F47,'سال 1403'!F47)</ns0:f>
        <ns0:v>-0.10441116953101455</ns0:v>
      </ns0:c>
      <ns0:c r="G138" s="77">
        <ns0:f>MIN('سال 1392'!G47,'سال 1393'!G47,'سال 1394'!G47,'سال 1395'!G47,'سال 1396'!G47,'سال 1397'!G47,'سال 1398'!G47,'سال 1399'!G47,'سال 1400'!G47,'سال 1401'!G47,'سال 1402'!G47,'سال 1403'!G47)</ns0:f>
        <ns0:v>-1.100998737719866</ns0:v>
      </ns0:c>
      <ns0:c r="H138" s="78">
        <ns0:f>MIN('سال 1392'!H47,'سال 1393'!H47,'سال 1394'!H47,'سال 1395'!H47,'سال 1396'!H47,'سال 1397'!H47,'سال 1398'!H47,'سال 1399'!H47,'سال 1400'!H47,'سال 1401'!H47,'سال 1402'!H47,'سال 1403'!H47)</ns0:f>
        <ns0:v>0.10367876057080305</ns0:v>
      </ns0:c>
      <ns0:c r="I138" s="78">
        <ns0:f>MIN('سال 1392'!I47,'سال 1393'!I47,'سال 1394'!I47,'سال 1395'!I47,'سال 1396'!I47,'سال 1397'!I47,'سال 1398'!I47,'سال 1399'!I47,'سال 1400'!I47,'سال 1401'!I47,'سال 1402'!I47,'سال 1403'!I47)</ns0:f>
        <ns0:v>-0.0595266140739239</ns0:v>
      </ns0:c>
      <ns0:c r="J138" s="78">
        <ns0:f>MIN('سال 1392'!J47,'سال 1393'!J47,'سال 1394'!J47,'سال 1395'!J47,'سال 1396'!J47,'سال 1397'!J47,'سال 1398'!J47,'سال 1399'!J47,'سال 1400'!J47,'سال 1401'!J47,'سال 1402'!J47,'سال 1403'!J47)</ns0:f>
        <ns0:v>-0.210137849083534</ns0:v>
      </ns0:c>
      <ns0:c r="K138" s="78">
        <ns0:f>MIN('سال 1392'!K47,'سال 1393'!K47,'سال 1394'!K47,'سال 1395'!K47,'سال 1396'!K47,'سال 1397'!K47,'سال 1398'!K47,'سال 1399'!K47,'سال 1400'!K47,'سال 1401'!K47,'سال 1402'!K47,'سال 1403'!K47)</ns0:f>
        <ns0:v>0.03915282830804257</ns0:v>
      </ns0:c>
      <ns0:c r="L138" s="78">
        <ns0:f>MIN('سال 1392'!L47,'سال 1393'!L47,'سال 1394'!L47,'سال 1395'!L47,'سال 1396'!L47,'سال 1397'!L47,'سال 1398'!L47,'سال 1399'!L47,'سال 1400'!L47,'سال 1401'!L47,'سال 1402'!L47,'سال 1403'!L47)</ns0:f>
        <ns0:v>-0.03144293427290698</ns0:v>
      </ns0:c>
      <ns0:c r="M138" s="78">
        <ns0:f>MIN('سال 1392'!M47,'سال 1393'!M47,'سال 1394'!M47,'سال 1395'!M47,'سال 1396'!M47,'سال 1397'!M47,'سال 1398'!M47,'سال 1399'!M47,'سال 1400'!M47,'سال 1401'!M47,'سال 1402'!M47,'سال 1403'!M47)</ns0:f>
        <ns0:v>0.020219534485748786</ns0:v>
      </ns0:c>
    </ns0:row>
    <ns0:row r="139" ht="30" customHeight="1">
      <ns0:c r="A139" s="73" t="inlineStr">
        <ns0:is>
          <ns0:t>سبزیجات و سیب‌زمینی</ns0:t>
        </ns0:is>
      </ns0:c>
      <ns0:c r="B139" s="78">
        <ns0:f>MIN('سال 1392'!B48,'سال 1393'!B48,'سال 1394'!B48,'سال 1395'!B48,'سال 1396'!B48,'سال 1397'!B48,'سال 1398'!B48,'سال 1399'!B48,'سال 1400'!B48,'سال 1401'!B48,'سال 1402'!B48,'سال 1403'!B48)</ns0:f>
        <ns0:v>-0.015412926245536602</ns0:v>
      </ns0:c>
      <ns0:c r="C139" s="78">
        <ns0:f>MIN('سال 1392'!C48,'سال 1393'!C48,'سال 1394'!C48,'سال 1395'!C48,'سال 1396'!C48,'سال 1397'!C48,'سال 1398'!C48,'سال 1399'!C48,'سال 1400'!C48,'سال 1401'!C48,'سال 1402'!C48,'سال 1403'!C48)</ns0:f>
        <ns0:v>-0.12863518780666203</ns0:v>
      </ns0:c>
      <ns0:c r="D139" s="78">
        <ns0:f>MIN('سال 1392'!D48,'سال 1393'!D48,'سال 1394'!D48,'سال 1395'!D48,'سال 1396'!D48,'سال 1397'!D48,'سال 1398'!D48,'سال 1399'!D48,'سال 1400'!D48,'سال 1401'!D48,'سال 1402'!D48,'سال 1403'!D48)</ns0:f>
        <ns0:v>-0.07587138504234088</ns0:v>
      </ns0:c>
      <ns0:c r="E139" s="78">
        <ns0:f>MIN('سال 1392'!E48,'سال 1393'!E48,'سال 1394'!E48,'سال 1395'!E48,'سال 1396'!E48,'سال 1397'!E48,'سال 1398'!E48,'سال 1399'!E48,'سال 1400'!E48,'سال 1401'!E48,'سال 1402'!E48,'سال 1403'!E48)</ns0:f>
        <ns0:v>-0.1617293670252037</ns0:v>
      </ns0:c>
      <ns0:c r="F139" s="78">
        <ns0:f>MIN('سال 1392'!F48,'سال 1393'!F48,'سال 1394'!F48,'سال 1395'!F48,'سال 1396'!F48,'سال 1397'!F48,'سال 1398'!F48,'سال 1399'!F48,'سال 1400'!F48,'سال 1401'!F48,'سال 1402'!F48,'سال 1403'!F48)</ns0:f>
        <ns0:v>-0.005449561987284922</ns0:v>
      </ns0:c>
      <ns0:c r="G139" s="78">
        <ns0:f>MIN('سال 1392'!G48,'سال 1393'!G48,'سال 1394'!G48,'سال 1395'!G48,'سال 1396'!G48,'سال 1397'!G48,'سال 1398'!G48,'سال 1399'!G48,'سال 1400'!G48,'سال 1401'!G48,'سال 1402'!G48,'سال 1403'!G48)</ns0:f>
        <ns0:v>0.04522888850572282</ns0:v>
      </ns0:c>
      <ns0:c r="H139" s="77">
        <ns0:f>MIN('سال 1392'!H48,'سال 1393'!H48,'سال 1394'!H48,'سال 1395'!H48,'سال 1396'!H48,'سال 1397'!H48,'سال 1398'!H48,'سال 1399'!H48,'سال 1400'!H48,'سال 1401'!H48,'سال 1402'!H48,'سال 1403'!H48)</ns0:f>
        <ns0:v>-0.5036412491352167</ns0:v>
      </ns0:c>
      <ns0:c r="I139" s="78">
        <ns0:f>MIN('سال 1392'!I48,'سال 1393'!I48,'سال 1394'!I48,'سال 1395'!I48,'سال 1396'!I48,'سال 1397'!I48,'سال 1398'!I48,'سال 1399'!I48,'سال 1400'!I48,'سال 1401'!I48,'سال 1402'!I48,'سال 1403'!I48)</ns0:f>
        <ns0:v>0.0013691331136529944</ns0:v>
      </ns0:c>
      <ns0:c r="J139" s="78">
        <ns0:f>MIN('سال 1392'!J48,'سال 1393'!J48,'سال 1394'!J48,'سال 1395'!J48,'سال 1396'!J48,'سال 1397'!J48,'سال 1398'!J48,'سال 1399'!J48,'سال 1400'!J48,'سال 1401'!J48,'سال 1402'!J48,'سال 1403'!J48)</ns0:f>
        <ns0:v>0.0065679947273560154</ns0:v>
      </ns0:c>
      <ns0:c r="K139" s="78">
        <ns0:f>MIN('سال 1392'!K48,'سال 1393'!K48,'سال 1394'!K48,'سال 1395'!K48,'سال 1396'!K48,'سال 1397'!K48,'سال 1398'!K48,'سال 1399'!K48,'سال 1400'!K48,'سال 1401'!K48,'سال 1402'!K48,'سال 1403'!K48)</ns0:f>
        <ns0:v>-0.07905592111745967</ns0:v>
      </ns0:c>
      <ns0:c r="L139" s="78">
        <ns0:f>MIN('سال 1392'!L48,'سال 1393'!L48,'سال 1394'!L48,'سال 1395'!L48,'سال 1396'!L48,'سال 1397'!L48,'سال 1398'!L48,'سال 1399'!L48,'سال 1400'!L48,'سال 1401'!L48,'سال 1402'!L48,'سال 1403'!L48)</ns0:f>
        <ns0:v>0.05330564933804452</ns0:v>
      </ns0:c>
      <ns0:c r="M139" s="78">
        <ns0:f>MIN('سال 1392'!M48,'سال 1393'!M48,'سال 1394'!M48,'سال 1395'!M48,'سال 1396'!M48,'سال 1397'!M48,'سال 1398'!M48,'سال 1399'!M48,'سال 1400'!M48,'سال 1401'!M48,'سال 1402'!M48,'سال 1403'!M48)</ns0:f>
        <ns0:v>-0.027446383183929397</ns0:v>
      </ns0:c>
    </ns0:row>
    <ns0:row r="140" ht="30" customHeight="1">
      <ns0:c r="A140" s="73" t="inlineStr">
        <ns0:is>
          <ns0:t>حبوبات</ns0:t>
        </ns0:is>
      </ns0:c>
      <ns0:c r="B140" s="78">
        <ns0:f>MIN('سال 1392'!B49,'سال 1393'!B49,'سال 1394'!B49,'سال 1395'!B49,'سال 1396'!B49,'سال 1397'!B49,'سال 1398'!B49,'سال 1399'!B49,'سال 1400'!B49,'سال 1401'!B49,'سال 1402'!B49,'سال 1403'!B49)</ns0:f>
        <ns0:v>-0.08596058093392524</ns0:v>
      </ns0:c>
      <ns0:c r="C140" s="78">
        <ns0:f>MIN('سال 1392'!C49,'سال 1393'!C49,'سال 1394'!C49,'سال 1395'!C49,'سال 1396'!C49,'سال 1397'!C49,'سال 1398'!C49,'سال 1399'!C49,'سال 1400'!C49,'سال 1401'!C49,'سال 1402'!C49,'سال 1403'!C49)</ns0:f>
        <ns0:v>-0.02584163978527688</ns0:v>
      </ns0:c>
      <ns0:c r="D140" s="78">
        <ns0:f>MIN('سال 1392'!D49,'سال 1393'!D49,'سال 1394'!D49,'سال 1395'!D49,'سال 1396'!D49,'سال 1397'!D49,'سال 1398'!D49,'سال 1399'!D49,'سال 1400'!D49,'سال 1401'!D49,'سال 1402'!D49,'سال 1403'!D49)</ns0:f>
        <ns0:v>-0.01734925063163006</ns0:v>
      </ns0:c>
      <ns0:c r="E140" s="78">
        <ns0:f>MIN('سال 1392'!E49,'سال 1393'!E49,'سال 1394'!E49,'سال 1395'!E49,'سال 1396'!E49,'سال 1397'!E49,'سال 1398'!E49,'سال 1399'!E49,'سال 1400'!E49,'سال 1401'!E49,'سال 1402'!E49,'سال 1403'!E49)</ns0:f>
        <ns0:v>0.1993202529497995</ns0:v>
      </ns0:c>
      <ns0:c r="F140" s="78">
        <ns0:f>MIN('سال 1392'!F49,'سال 1393'!F49,'سال 1394'!F49,'سال 1395'!F49,'سال 1396'!F49,'سال 1397'!F49,'سال 1398'!F49,'سال 1399'!F49,'سال 1400'!F49,'سال 1401'!F49,'سال 1402'!F49,'سال 1403'!F49)</ns0:f>
        <ns0:v>-0.12080676084973112</ns0:v>
      </ns0:c>
      <ns0:c r="G140" s="78">
        <ns0:f>MIN('سال 1392'!G49,'سال 1393'!G49,'سال 1394'!G49,'سال 1395'!G49,'سال 1396'!G49,'سال 1397'!G49,'سال 1398'!G49,'سال 1399'!G49,'سال 1400'!G49,'سال 1401'!G49,'سال 1402'!G49,'سال 1403'!G49)</ns0:f>
        <ns0:v>-0.07638460155506224</ns0:v>
      </ns0:c>
      <ns0:c r="H140" s="78">
        <ns0:f>MIN('سال 1392'!H49,'سال 1393'!H49,'سال 1394'!H49,'سال 1395'!H49,'سال 1396'!H49,'سال 1397'!H49,'سال 1398'!H49,'سال 1399'!H49,'سال 1400'!H49,'سال 1401'!H49,'سال 1402'!H49,'سال 1403'!H49)</ns0:f>
        <ns0:v>-0.16225391386340737</ns0:v>
      </ns0:c>
      <ns0:c r="I140" s="77">
        <ns0:f>MIN('سال 1392'!I49,'سال 1393'!I49,'سال 1394'!I49,'سال 1395'!I49,'سال 1396'!I49,'سال 1397'!I49,'سال 1398'!I49,'سال 1399'!I49,'سال 1400'!I49,'سال 1401'!I49,'سال 1402'!I49,'سال 1403'!I49)</ns0:f>
        <ns0:v>-0.7381377906894774</ns0:v>
      </ns0:c>
      <ns0:c r="J140" s="78">
        <ns0:f>MIN('سال 1392'!J49,'سال 1393'!J49,'سال 1394'!J49,'سال 1395'!J49,'سال 1396'!J49,'سال 1397'!J49,'سال 1398'!J49,'سال 1399'!J49,'سال 1400'!J49,'سال 1401'!J49,'سال 1402'!J49,'سال 1403'!J49)</ns0:f>
        <ns0:v>-0.12082508671175733</ns0:v>
      </ns0:c>
      <ns0:c r="K140" s="78">
        <ns0:f>MIN('سال 1392'!K49,'سال 1393'!K49,'سال 1394'!K49,'سال 1395'!K49,'سال 1396'!K49,'سال 1397'!K49,'سال 1398'!K49,'سال 1399'!K49,'سال 1400'!K49,'سال 1401'!K49,'سال 1402'!K49,'سال 1403'!K49)</ns0:f>
        <ns0:v>-0.18981724816789286</ns0:v>
      </ns0:c>
      <ns0:c r="L140" s="78">
        <ns0:f>MIN('سال 1392'!L49,'سال 1393'!L49,'سال 1394'!L49,'سال 1395'!L49,'سال 1396'!L49,'سال 1397'!L49,'سال 1398'!L49,'سال 1399'!L49,'سال 1400'!L49,'سال 1401'!L49,'سال 1402'!L49,'سال 1403'!L49)</ns0:f>
        <ns0:v>0.010156275060280384</ns0:v>
      </ns0:c>
      <ns0:c r="M140" s="78">
        <ns0:f>MIN('سال 1392'!M49,'سال 1393'!M49,'سال 1394'!M49,'سال 1395'!M49,'سال 1396'!M49,'سال 1397'!M49,'سال 1398'!M49,'سال 1399'!M49,'سال 1400'!M49,'سال 1401'!M49,'سال 1402'!M49,'سال 1403'!M49)</ns0:f>
        <ns0:v>-0.008271529237491623</ns0:v>
      </ns0:c>
    </ns0:row>
    <ns0:row r="141" ht="30" customHeight="1">
      <ns0:c r="A141" s="73" t="inlineStr">
        <ns0:is>
          <ns0:t>مغزها، خشکبار و خرما</ns0:t>
        </ns0:is>
      </ns0:c>
      <ns0:c r="B141" s="78">
        <ns0:f>MIN('سال 1392'!B50,'سال 1393'!B50,'سال 1394'!B50,'سال 1395'!B50,'سال 1396'!B50,'سال 1397'!B50,'سال 1398'!B50,'سال 1399'!B50,'سال 1400'!B50,'سال 1401'!B50,'سال 1402'!B50,'سال 1403'!B50)</ns0:f>
        <ns0:v>-0.15204996093536643</ns0:v>
      </ns0:c>
      <ns0:c r="C141" s="78">
        <ns0:f>MIN('سال 1392'!C50,'سال 1393'!C50,'سال 1394'!C50,'سال 1395'!C50,'سال 1396'!C50,'سال 1397'!C50,'سال 1398'!C50,'سال 1399'!C50,'سال 1400'!C50,'سال 1401'!C50,'سال 1402'!C50,'سال 1403'!C50)</ns0:f>
        <ns0:v>-0.008120067564398073</ns0:v>
      </ns0:c>
      <ns0:c r="D141" s="78">
        <ns0:f>MIN('سال 1392'!D50,'سال 1393'!D50,'سال 1394'!D50,'سال 1395'!D50,'سال 1396'!D50,'سال 1397'!D50,'سال 1398'!D50,'سال 1399'!D50,'سال 1400'!D50,'سال 1401'!D50,'سال 1402'!D50,'سال 1403'!D50)</ns0:f>
        <ns0:v>-0.3187436108594649</ns0:v>
      </ns0:c>
      <ns0:c r="E141" s="78">
        <ns0:f>MIN('سال 1392'!E50,'سال 1393'!E50,'سال 1394'!E50,'سال 1395'!E50,'سال 1396'!E50,'سال 1397'!E50,'سال 1398'!E50,'سال 1399'!E50,'سال 1400'!E50,'سال 1401'!E50,'سال 1402'!E50,'سال 1403'!E50)</ns0:f>
        <ns0:v>0.15144759669119376</ns0:v>
      </ns0:c>
      <ns0:c r="F141" s="78">
        <ns0:f>MIN('سال 1392'!F50,'سال 1393'!F50,'سال 1394'!F50,'سال 1395'!F50,'سال 1396'!F50,'سال 1397'!F50,'سال 1398'!F50,'سال 1399'!F50,'سال 1400'!F50,'سال 1401'!F50,'سال 1402'!F50,'سال 1403'!F50)</ns0:f>
        <ns0:v>0.008727983136676741</ns0:v>
      </ns0:c>
      <ns0:c r="G141" s="78">
        <ns0:f>MIN('سال 1392'!G50,'سال 1393'!G50,'سال 1394'!G50,'سال 1395'!G50,'سال 1396'!G50,'سال 1397'!G50,'سال 1398'!G50,'سال 1399'!G50,'سال 1400'!G50,'سال 1401'!G50,'سال 1402'!G50,'سال 1403'!G50)</ns0:f>
        <ns0:v>-0.24127127683460467</ns0:v>
      </ns0:c>
      <ns0:c r="H141" s="78">
        <ns0:f>MIN('سال 1392'!H50,'سال 1393'!H50,'سال 1394'!H50,'سال 1395'!H50,'سال 1396'!H50,'سال 1397'!H50,'سال 1398'!H50,'سال 1399'!H50,'سال 1400'!H50,'سال 1401'!H50,'سال 1402'!H50,'سال 1403'!H50)</ns0:f>
        <ns0:v>-0.11282310555057468</ns0:v>
      </ns0:c>
      <ns0:c r="I141" s="78">
        <ns0:f>MIN('سال 1392'!I50,'سال 1393'!I50,'سال 1394'!I50,'سال 1395'!I50,'سال 1396'!I50,'سال 1397'!I50,'سال 1398'!I50,'سال 1399'!I50,'سال 1400'!I50,'سال 1401'!I50,'سال 1402'!I50,'سال 1403'!I50)</ns0:f>
        <ns0:v>-0.1468910873026702</ns0:v>
      </ns0:c>
      <ns0:c r="J141" s="77">
        <ns0:f>MIN('سال 1392'!J50,'سال 1393'!J50,'سال 1394'!J50,'سال 1395'!J50,'سال 1396'!J50,'سال 1397'!J50,'سال 1398'!J50,'سال 1399'!J50,'سال 1400'!J50,'سال 1401'!J50,'سال 1402'!J50,'سال 1403'!J50)</ns0:f>
        <ns0:v>-1.0109162288653433</ns0:v>
      </ns0:c>
      <ns0:c r="K141" s="78">
        <ns0:f>MIN('سال 1392'!K50,'سال 1393'!K50,'سال 1394'!K50,'سال 1395'!K50,'سال 1396'!K50,'سال 1397'!K50,'سال 1398'!K50,'سال 1399'!K50,'سال 1400'!K50,'سال 1401'!K50,'سال 1402'!K50,'سال 1403'!K50)</ns0:f>
        <ns0:v>-0.09822401758106154</ns0:v>
      </ns0:c>
      <ns0:c r="L141" s="78">
        <ns0:f>MIN('سال 1392'!L50,'سال 1393'!L50,'سال 1394'!L50,'سال 1395'!L50,'سال 1396'!L50,'سال 1397'!L50,'سال 1398'!L50,'سال 1399'!L50,'سال 1400'!L50,'سال 1401'!L50,'سال 1402'!L50,'سال 1403'!L50)</ns0:f>
        <ns0:v>-0.1811126793069966</ns0:v>
      </ns0:c>
      <ns0:c r="M141" s="78">
        <ns0:f>MIN('سال 1392'!M50,'سال 1393'!M50,'سال 1394'!M50,'سال 1395'!M50,'سال 1396'!M50,'سال 1397'!M50,'سال 1398'!M50,'سال 1399'!M50,'سال 1400'!M50,'سال 1401'!M50,'سال 1402'!M50,'سال 1403'!M50)</ns0:f>
        <ns0:v>0.03364836420452176</ns0:v>
      </ns0:c>
    </ns0:row>
    <ns0:row r="142" ht="30" customHeight="1">
      <ns0:c r="A142" s="73" t="inlineStr">
        <ns0:is>
          <ns0:t>قند، شیرینی و تنقلات</ns0:t>
        </ns0:is>
      </ns0:c>
      <ns0:c r="B142" s="78">
        <ns0:f>MIN('سال 1392'!B51,'سال 1393'!B51,'سال 1394'!B51,'سال 1395'!B51,'سال 1396'!B51,'سال 1397'!B51,'سال 1398'!B51,'سال 1399'!B51,'سال 1400'!B51,'سال 1401'!B51,'سال 1402'!B51,'سال 1403'!B51)</ns0:f>
        <ns0:v>-0.11948804469958114</ns0:v>
      </ns0:c>
      <ns0:c r="C142" s="78">
        <ns0:f>MIN('سال 1392'!C51,'سال 1393'!C51,'سال 1394'!C51,'سال 1395'!C51,'سال 1396'!C51,'سال 1397'!C51,'سال 1398'!C51,'سال 1399'!C51,'سال 1400'!C51,'سال 1401'!C51,'سال 1402'!C51,'سال 1403'!C51)</ns0:f>
        <ns0:v>-0.07610987668666566</ns0:v>
      </ns0:c>
      <ns0:c r="D142" s="78">
        <ns0:f>MIN('سال 1392'!D51,'سال 1393'!D51,'سال 1394'!D51,'سال 1395'!D51,'سال 1396'!D51,'سال 1397'!D51,'سال 1398'!D51,'سال 1399'!D51,'سال 1400'!D51,'سال 1401'!D51,'سال 1402'!D51,'سال 1403'!D51)</ns0:f>
        <ns0:v>-0.008405571083837498</ns0:v>
      </ns0:c>
      <ns0:c r="E142" s="78">
        <ns0:f>MIN('سال 1392'!E51,'سال 1393'!E51,'سال 1394'!E51,'سال 1395'!E51,'سال 1396'!E51,'سال 1397'!E51,'سال 1398'!E51,'سال 1399'!E51,'سال 1400'!E51,'سال 1401'!E51,'سال 1402'!E51,'سال 1403'!E51)</ns0:f>
        <ns0:v>-0.11548316863486707</ns0:v>
      </ns0:c>
      <ns0:c r="F142" s="78">
        <ns0:f>MIN('سال 1392'!F51,'سال 1393'!F51,'سال 1394'!F51,'سال 1395'!F51,'سال 1396'!F51,'سال 1397'!F51,'سال 1398'!F51,'سال 1399'!F51,'سال 1400'!F51,'سال 1401'!F51,'سال 1402'!F51,'سال 1403'!F51)</ns0:f>
        <ns0:v>-0.012303132304001702</ns0:v>
      </ns0:c>
      <ns0:c r="G142" s="78">
        <ns0:f>MIN('سال 1392'!G51,'سال 1393'!G51,'سال 1394'!G51,'سال 1395'!G51,'سال 1396'!G51,'سال 1397'!G51,'سال 1398'!G51,'سال 1399'!G51,'سال 1400'!G51,'سال 1401'!G51,'سال 1402'!G51,'سال 1403'!G51)</ns0:f>
        <ns0:v>0.044323310100226054</ns0:v>
      </ns0:c>
      <ns0:c r="H142" s="78">
        <ns0:f>MIN('سال 1392'!H51,'سال 1393'!H51,'سال 1394'!H51,'سال 1395'!H51,'سال 1396'!H51,'سال 1397'!H51,'سال 1398'!H51,'سال 1399'!H51,'سال 1400'!H51,'سال 1401'!H51,'سال 1402'!H51,'سال 1403'!H51)</ns0:f>
        <ns0:v>-0.1136336755045183</ns0:v>
      </ns0:c>
      <ns0:c r="I142" s="78">
        <ns0:f>MIN('سال 1392'!I51,'سال 1393'!I51,'سال 1394'!I51,'سال 1395'!I51,'سال 1396'!I51,'سال 1397'!I51,'سال 1398'!I51,'سال 1399'!I51,'سال 1400'!I51,'سال 1401'!I51,'سال 1402'!I51,'سال 1403'!I51)</ns0:f>
        <ns0:v>-0.0380030258246892</ns0:v>
      </ns0:c>
      <ns0:c r="J142" s="78">
        <ns0:f>MIN('سال 1392'!J51,'سال 1393'!J51,'سال 1394'!J51,'سال 1395'!J51,'سال 1396'!J51,'سال 1397'!J51,'سال 1398'!J51,'سال 1399'!J51,'سال 1400'!J51,'سال 1401'!J51,'سال 1402'!J51,'سال 1403'!J51)</ns0:f>
        <ns0:v>-0.040832056917364974</ns0:v>
      </ns0:c>
      <ns0:c r="K142" s="77">
        <ns0:f>MIN('سال 1392'!K51,'سال 1393'!K51,'سال 1394'!K51,'سال 1395'!K51,'سال 1396'!K51,'سال 1397'!K51,'سال 1398'!K51,'سال 1399'!K51,'سال 1400'!K51,'سال 1401'!K51,'سال 1402'!K51,'سال 1403'!K51)</ns0:f>
        <ns0:v>-0.597940273780805</ns0:v>
      </ns0:c>
      <ns0:c r="L142" s="78">
        <ns0:f>MIN('سال 1392'!L51,'سال 1393'!L51,'سال 1394'!L51,'سال 1395'!L51,'سال 1396'!L51,'سال 1397'!L51,'سال 1398'!L51,'سال 1399'!L51,'سال 1400'!L51,'سال 1401'!L51,'سال 1402'!L51,'سال 1403'!L51)</ns0:f>
        <ns0:v>-0.06988833711482742</ns0:v>
      </ns0:c>
      <ns0:c r="M142" s="78">
        <ns0:f>MIN('سال 1392'!M51,'سال 1393'!M51,'سال 1394'!M51,'سال 1395'!M51,'سال 1396'!M51,'سال 1397'!M51,'سال 1398'!M51,'سال 1399'!M51,'سال 1400'!M51,'سال 1401'!M51,'سال 1402'!M51,'سال 1403'!M51)</ns0:f>
        <ns0:v>-0.008474215760444753</ns0:v>
      </ns0:c>
    </ns0:row>
    <ns0:row r="143" ht="30" customHeight="1">
      <ns0:c r="A143" s="73" t="inlineStr">
        <ns0:is>
          <ns0:t>نوشیدنی بدون نوشابه</ns0:t>
        </ns0:is>
      </ns0:c>
      <ns0:c r="B143" s="78">
        <ns0:f>MIN('سال 1392'!B52,'سال 1393'!B52,'سال 1394'!B52,'سال 1395'!B52,'سال 1396'!B52,'سال 1397'!B52,'سال 1398'!B52,'سال 1399'!B52,'سال 1400'!B52,'سال 1401'!B52,'سال 1402'!B52,'سال 1403'!B52)</ns0:f>
        <ns0:v>-0.28465114733890595</ns0:v>
      </ns0:c>
      <ns0:c r="C143" s="78">
        <ns0:f>MIN('سال 1392'!C52,'سال 1393'!C52,'سال 1394'!C52,'سال 1395'!C52,'سال 1396'!C52,'سال 1397'!C52,'سال 1398'!C52,'سال 1399'!C52,'سال 1400'!C52,'سال 1401'!C52,'سال 1402'!C52,'سال 1403'!C52)</ns0:f>
        <ns0:v>0.13446609445592003</ns0:v>
      </ns0:c>
      <ns0:c r="D143" s="78">
        <ns0:f>MIN('سال 1392'!D52,'سال 1393'!D52,'سال 1394'!D52,'سال 1395'!D52,'سال 1396'!D52,'سال 1397'!D52,'سال 1398'!D52,'سال 1399'!D52,'سال 1400'!D52,'سال 1401'!D52,'سال 1402'!D52,'سال 1403'!D52)</ns0:f>
        <ns0:v>-0.11039513510395506</ns0:v>
      </ns0:c>
      <ns0:c r="E143" s="78">
        <ns0:f>MIN('سال 1392'!E52,'سال 1393'!E52,'سال 1394'!E52,'سال 1395'!E52,'سال 1396'!E52,'سال 1397'!E52,'سال 1398'!E52,'سال 1399'!E52,'سال 1400'!E52,'سال 1401'!E52,'سال 1402'!E52,'سال 1403'!E52)</ns0:f>
        <ns0:v>0.22946525114462538</ns0:v>
      </ns0:c>
      <ns0:c r="F143" s="78">
        <ns0:f>MIN('سال 1392'!F52,'سال 1393'!F52,'سال 1394'!F52,'سال 1395'!F52,'سال 1396'!F52,'سال 1397'!F52,'سال 1398'!F52,'سال 1399'!F52,'سال 1400'!F52,'سال 1401'!F52,'سال 1402'!F52,'سال 1403'!F52)</ns0:f>
        <ns0:v>-0.1133781556108911</ns0:v>
      </ns0:c>
      <ns0:c r="G143" s="78">
        <ns0:f>MIN('سال 1392'!G52,'سال 1393'!G52,'سال 1394'!G52,'سال 1395'!G52,'سال 1396'!G52,'سال 1397'!G52,'سال 1398'!G52,'سال 1399'!G52,'سال 1400'!G52,'سال 1401'!G52,'سال 1402'!G52,'سال 1403'!G52)</ns0:f>
        <ns0:v>-0.04228823274820542</ns0:v>
      </ns0:c>
      <ns0:c r="H143" s="78">
        <ns0:f>MIN('سال 1392'!H52,'سال 1393'!H52,'سال 1394'!H52,'سال 1395'!H52,'سال 1396'!H52,'سال 1397'!H52,'سال 1398'!H52,'سال 1399'!H52,'سال 1400'!H52,'سال 1401'!H52,'سال 1402'!H52,'سال 1403'!H52)</ns0:f>
        <ns0:v>0.12896646621088026</ns0:v>
      </ns0:c>
      <ns0:c r="I143" s="78">
        <ns0:f>MIN('سال 1392'!I52,'سال 1393'!I52,'سال 1394'!I52,'سال 1395'!I52,'سال 1396'!I52,'سال 1397'!I52,'سال 1398'!I52,'سال 1399'!I52,'سال 1400'!I52,'سال 1401'!I52,'سال 1402'!I52,'سال 1403'!I52)</ns0:f>
        <ns0:v>0.057384174257988654</ns0:v>
      </ns0:c>
      <ns0:c r="J143" s="78">
        <ns0:f>MIN('سال 1392'!J52,'سال 1393'!J52,'سال 1394'!J52,'سال 1395'!J52,'سال 1396'!J52,'سال 1397'!J52,'سال 1398'!J52,'سال 1399'!J52,'سال 1400'!J52,'سال 1401'!J52,'سال 1402'!J52,'سال 1403'!J52)</ns0:f>
        <ns0:v>-0.13211592592146262</ns0:v>
      </ns0:c>
      <ns0:c r="K143" s="78">
        <ns0:f>MIN('سال 1392'!K52,'سال 1393'!K52,'سال 1394'!K52,'سال 1395'!K52,'سال 1396'!K52,'سال 1397'!K52,'سال 1398'!K52,'سال 1399'!K52,'سال 1400'!K52,'سال 1401'!K52,'سال 1402'!K52,'سال 1403'!K52)</ns0:f>
        <ns0:v>-0.23132546268822393</ns0:v>
      </ns0:c>
      <ns0:c r="L143" s="77">
        <ns0:f>MIN('سال 1392'!L52,'سال 1393'!L52,'سال 1394'!L52,'سال 1395'!L52,'سال 1396'!L52,'سال 1397'!L52,'سال 1398'!L52,'سال 1399'!L52,'سال 1400'!L52,'سال 1401'!L52,'سال 1402'!L52,'سال 1403'!L52)</ns0:f>
        <ns0:v>-0.9026665495773668</ns0:v>
      </ns0:c>
      <ns0:c r="M143" s="78">
        <ns0:f>MIN('سال 1392'!M52,'سال 1393'!M52,'سال 1394'!M52,'سال 1395'!M52,'سال 1396'!M52,'سال 1397'!M52,'سال 1398'!M52,'سال 1399'!M52,'سال 1400'!M52,'سال 1401'!M52,'سال 1402'!M52,'سال 1403'!M52)</ns0:f>
        <ns0:v>0.05537360003638421</ns0:v>
      </ns0:c>
    </ns0:row>
    <ns0:row r="144" ht="30" customHeight="1">
      <ns0:c r="A144" s="73" t="inlineStr">
        <ns0:is>
          <ns0:t>ادویه و چاشنی</ns0:t>
        </ns0:is>
      </ns0:c>
      <ns0:c r="B144" s="78">
        <ns0:f>MIN('سال 1392'!B53,'سال 1393'!B53,'سال 1394'!B53,'سال 1395'!B53,'سال 1396'!B53,'سال 1397'!B53,'سال 1398'!B53,'سال 1399'!B53,'سال 1400'!B53,'سال 1401'!B53,'سال 1402'!B53,'سال 1403'!B53)</ns0:f>
        <ns0:v>0.20656032598617596</ns0:v>
      </ns0:c>
      <ns0:c r="C144" s="78">
        <ns0:f>MIN('سال 1392'!C53,'سال 1393'!C53,'سال 1394'!C53,'سال 1395'!C53,'سال 1396'!C53,'سال 1397'!C53,'سال 1398'!C53,'سال 1399'!C53,'سال 1400'!C53,'سال 1401'!C53,'سال 1402'!C53,'سال 1403'!C53)</ns0:f>
        <ns0:v>-0.13184316796070422</ns0:v>
      </ns0:c>
      <ns0:c r="D144" s="78">
        <ns0:f>MIN('سال 1392'!D53,'سال 1393'!D53,'سال 1394'!D53,'سال 1395'!D53,'سال 1396'!D53,'سال 1397'!D53,'سال 1398'!D53,'سال 1399'!D53,'سال 1400'!D53,'سال 1401'!D53,'سال 1402'!D53,'سال 1403'!D53)</ns0:f>
        <ns0:v>-0.15833986571709915</ns0:v>
      </ns0:c>
      <ns0:c r="E144" s="78">
        <ns0:f>MIN('سال 1392'!E53,'سال 1393'!E53,'سال 1394'!E53,'سال 1395'!E53,'سال 1396'!E53,'سال 1397'!E53,'سال 1398'!E53,'سال 1399'!E53,'سال 1400'!E53,'سال 1401'!E53,'سال 1402'!E53,'سال 1403'!E53)</ns0:f>
        <ns0:v>-0.34847329557149226</ns0:v>
      </ns0:c>
      <ns0:c r="F144" s="78">
        <ns0:f>MIN('سال 1392'!F53,'سال 1393'!F53,'سال 1394'!F53,'سال 1395'!F53,'سال 1396'!F53,'سال 1397'!F53,'سال 1398'!F53,'سال 1399'!F53,'سال 1400'!F53,'سال 1401'!F53,'سال 1402'!F53,'سال 1403'!F53)</ns0:f>
        <ns0:v>-0.050857290057663276</ns0:v>
      </ns0:c>
      <ns0:c r="G144" s="78">
        <ns0:f>MIN('سال 1392'!G53,'سال 1393'!G53,'سال 1394'!G53,'سال 1395'!G53,'سال 1396'!G53,'سال 1397'!G53,'سال 1398'!G53,'سال 1399'!G53,'سال 1400'!G53,'سال 1401'!G53,'سال 1402'!G53,'سال 1403'!G53)</ns0:f>
        <ns0:v>0.054813023318691916</ns0:v>
      </ns0:c>
      <ns0:c r="H144" s="78">
        <ns0:f>MIN('سال 1392'!H53,'سال 1393'!H53,'سال 1394'!H53,'سال 1395'!H53,'سال 1396'!H53,'سال 1397'!H53,'سال 1398'!H53,'سال 1399'!H53,'سال 1400'!H53,'سال 1401'!H53,'سال 1402'!H53,'سال 1403'!H53)</ns0:f>
        <ns0:v>-0.09490625281511303</ns0:v>
      </ns0:c>
      <ns0:c r="I144" s="78">
        <ns0:f>MIN('سال 1392'!I53,'سال 1393'!I53,'سال 1394'!I53,'سال 1395'!I53,'سال 1396'!I53,'سال 1397'!I53,'سال 1398'!I53,'سال 1399'!I53,'سال 1400'!I53,'سال 1401'!I53,'سال 1402'!I53,'سال 1403'!I53)</ns0:f>
        <ns0:v>-0.035552641830734116</ns0:v>
      </ns0:c>
      <ns0:c r="J144" s="78">
        <ns0:f>MIN('سال 1392'!J53,'سال 1393'!J53,'سال 1394'!J53,'سال 1395'!J53,'سال 1396'!J53,'سال 1397'!J53,'سال 1398'!J53,'سال 1399'!J53,'سال 1400'!J53,'سال 1401'!J53,'سال 1402'!J53,'سال 1403'!J53)</ns0:f>
        <ns0:v>0.1574095097804695</ns0:v>
      </ns0:c>
      <ns0:c r="K144" s="78">
        <ns0:f>MIN('سال 1392'!K53,'سال 1393'!K53,'سال 1394'!K53,'سال 1395'!K53,'سال 1396'!K53,'سال 1397'!K53,'سال 1398'!K53,'سال 1399'!K53,'سال 1400'!K53,'سال 1401'!K53,'سال 1402'!K53,'سال 1403'!K53)</ns0:f>
        <ns0:v>-0.03715681480234074</ns0:v>
      </ns0:c>
      <ns0:c r="L144" s="78">
        <ns0:f>MIN('سال 1392'!L53,'سال 1393'!L53,'سال 1394'!L53,'سال 1395'!L53,'سال 1396'!L53,'سال 1397'!L53,'سال 1398'!L53,'سال 1399'!L53,'سال 1400'!L53,'سال 1401'!L53,'سال 1402'!L53,'سال 1403'!L53)</ns0:f>
        <ns0:v>0.017378919425119415</ns0:v>
      </ns0:c>
      <ns0:c r="M144" s="77">
        <ns0:f>MIN('سال 1392'!M53,'سال 1393'!M53,'سال 1394'!M53,'سال 1395'!M53,'سال 1396'!M53,'سال 1397'!M53,'سال 1398'!M53,'سال 1399'!M53,'سال 1400'!M53,'سال 1401'!M53,'سال 1402'!M53,'سال 1403'!M53)</ns0:f>
        <ns0:v>-0.5023438920385096</ns0:v>
      </ns0:c>
    </ns0:row>
    <ns0:row r="148" ht="28" customHeight="1">
      <ns0:c r="A148" s="76" t="inlineStr">
        <ns0:is>
          <ns0:t>سالانه • بیشینه کشش مارشالی ۱۲×۱۲ | B2</ns0:t>
        </ns0:is>
      </ns0:c>
      <ns0:c r="B148" s="1" t="n"/>
      <ns0:c r="C148" s="1" t="n"/>
      <ns0:c r="D148" s="1" t="n"/>
      <ns0:c r="E148" s="1" t="n"/>
      <ns0:c r="F148" s="1" t="n"/>
      <ns0:c r="G148" s="1" t="n"/>
      <ns0:c r="H148" s="1" t="n"/>
      <ns0:c r="I148" s="1" t="n"/>
      <ns0:c r="J148" s="1" t="n"/>
      <ns0:c r="K148" s="1" t="n"/>
      <ns0:c r="L148" s="1" t="n"/>
      <ns0:c r="M148" s="1" t="n"/>
    </ns0:row>
    <ns0:row r="149" ht="58" customHeight="1">
      <ns0:c r="A149" s="72" t="inlineStr">
        <ns0:is>
          <ns0:t>گروه تقاضا ↓ / گروه قیمت →</ns0:t>
        </ns0:is>
      </ns0:c>
      <ns0:c r="B149" s="72" t="inlineStr">
        <ns0:is>
          <ns0:t>برنج</ns0:t>
        </ns0:is>
      </ns0:c>
      <ns0:c r="C149" s="72" t="inlineStr">
        <ns0:is>
          <ns0:t>نان و غلات</ns0:t>
        </ns0:is>
      </ns0:c>
      <ns0:c r="D149" s="72" t="inlineStr">
        <ns0:is>
          <ns0:t>گوشت</ns0:t>
        </ns0:is>
      </ns0:c>
      <ns0:c r="E149" s="72" t="inlineStr">
        <ns0:is>
          <ns0:t>لبنیات و تخم‌مرغ</ns0:t>
        </ns0:is>
      </ns0:c>
      <ns0:c r="F149" s="72" t="inlineStr">
        <ns0:is>
          <ns0:t>روغن و چربی</ns0:t>
        </ns0:is>
      </ns0:c>
      <ns0:c r="G149" s="72" t="inlineStr">
        <ns0:is>
          <ns0:t>میوه</ns0:t>
        </ns0:is>
      </ns0:c>
      <ns0:c r="H149" s="72" t="inlineStr">
        <ns0:is>
          <ns0:t>سبزیجات و سیب‌زمینی</ns0:t>
        </ns0:is>
      </ns0:c>
      <ns0:c r="I149" s="72" t="inlineStr">
        <ns0:is>
          <ns0:t>حبوبات</ns0:t>
        </ns0:is>
      </ns0:c>
      <ns0:c r="J149" s="72" t="inlineStr">
        <ns0:is>
          <ns0:t>مغزها، خشکبار و خرما</ns0:t>
        </ns0:is>
      </ns0:c>
      <ns0:c r="K149" s="72" t="inlineStr">
        <ns0:is>
          <ns0:t>قند، شیرینی و تنقلات</ns0:t>
        </ns0:is>
      </ns0:c>
      <ns0:c r="L149" s="72" t="inlineStr">
        <ns0:is>
          <ns0:t>نوشیدنی بدون نوشابه</ns0:t>
        </ns0:is>
      </ns0:c>
      <ns0:c r="M149" s="72" t="inlineStr">
        <ns0:is>
          <ns0:t>ادویه و چاشنی</ns0:t>
        </ns0:is>
      </ns0:c>
    </ns0:row>
    <ns0:row r="150" ht="30" customHeight="1">
      <ns0:c r="A150" s="73" t="inlineStr">
        <ns0:is>
          <ns0:t>برنج</ns0:t>
        </ns0:is>
      </ns0:c>
      <ns0:c r="B150" s="77">
        <ns0:f>MAX('سال 1392'!B42,'سال 1393'!B42,'سال 1394'!B42,'سال 1395'!B42,'سال 1396'!B42,'سال 1397'!B42,'سال 1398'!B42,'سال 1399'!B42,'سال 1400'!B42,'سال 1401'!B42,'سال 1402'!B42,'سال 1403'!B42)</ns0:f>
        <ns0:v>-1.0705036012004205</ns0:v>
      </ns0:c>
      <ns0:c r="C150" s="78">
        <ns0:f>MAX('سال 1392'!C42,'سال 1393'!C42,'سال 1394'!C42,'سال 1395'!C42,'سال 1396'!C42,'سال 1397'!C42,'سال 1398'!C42,'سال 1399'!C42,'سال 1400'!C42,'سال 1401'!C42,'سال 1402'!C42,'سال 1403'!C42)</ns0:f>
        <ns0:v>0.02382079077012237</ns0:v>
      </ns0:c>
      <ns0:c r="D150" s="78">
        <ns0:f>MAX('سال 1392'!D42,'سال 1393'!D42,'سال 1394'!D42,'سال 1395'!D42,'سال 1396'!D42,'سال 1397'!D42,'سال 1398'!D42,'سال 1399'!D42,'سال 1400'!D42,'سال 1401'!D42,'سال 1402'!D42,'سال 1403'!D42)</ns0:f>
        <ns0:v>-0.10274725220863634</ns0:v>
      </ns0:c>
      <ns0:c r="E150" s="78">
        <ns0:f>MAX('سال 1392'!E42,'سال 1393'!E42,'سال 1394'!E42,'سال 1395'!E42,'سال 1396'!E42,'سال 1397'!E42,'سال 1398'!E42,'سال 1399'!E42,'سال 1400'!E42,'سال 1401'!E42,'سال 1402'!E42,'سال 1403'!E42)</ns0:f>
        <ns0:v>0.02356740413811555</ns0:v>
      </ns0:c>
      <ns0:c r="F150" s="78">
        <ns0:f>MAX('سال 1392'!F42,'سال 1393'!F42,'سال 1394'!F42,'سال 1395'!F42,'سال 1396'!F42,'سال 1397'!F42,'سال 1398'!F42,'سال 1399'!F42,'سال 1400'!F42,'سال 1401'!F42,'سال 1402'!F42,'سال 1403'!F42)</ns0:f>
        <ns0:v>-0.028295948357747614</ns0:v>
      </ns0:c>
      <ns0:c r="G150" s="78">
        <ns0:f>MAX('سال 1392'!G42,'سال 1393'!G42,'سال 1394'!G42,'سال 1395'!G42,'سال 1396'!G42,'سال 1397'!G42,'سال 1398'!G42,'سال 1399'!G42,'سال 1400'!G42,'سال 1401'!G42,'سال 1402'!G42,'سال 1403'!G42)</ns0:f>
        <ns0:v>-0.07548963173528421</ns0:v>
      </ns0:c>
      <ns0:c r="H150" s="78">
        <ns0:f>MAX('سال 1392'!H42,'سال 1393'!H42,'سال 1394'!H42,'سال 1395'!H42,'سال 1396'!H42,'سال 1397'!H42,'سال 1398'!H42,'سال 1399'!H42,'سال 1400'!H42,'سال 1401'!H42,'سال 1402'!H42,'سال 1403'!H42)</ns0:f>
        <ns0:v>-0.0884020881373522</ns0:v>
      </ns0:c>
      <ns0:c r="I150" s="78">
        <ns0:f>MAX('سال 1392'!I42,'سال 1393'!I42,'سال 1394'!I42,'سال 1395'!I42,'سال 1396'!I42,'سال 1397'!I42,'سال 1398'!I42,'سال 1399'!I42,'سال 1400'!I42,'سال 1401'!I42,'سال 1402'!I42,'سال 1403'!I42)</ns0:f>
        <ns0:v>-0.026690685738133445</ns0:v>
      </ns0:c>
      <ns0:c r="J150" s="78">
        <ns0:f>MAX('سال 1392'!J42,'سال 1393'!J42,'سال 1394'!J42,'سال 1395'!J42,'سال 1396'!J42,'سال 1397'!J42,'سال 1398'!J42,'سال 1399'!J42,'سال 1400'!J42,'سال 1401'!J42,'سال 1402'!J42,'سال 1403'!J42)</ns0:f>
        <ns0:v>-0.006916632781609195</ns0:v>
      </ns0:c>
      <ns0:c r="K150" s="78">
        <ns0:f>MAX('سال 1392'!K42,'سال 1393'!K42,'سال 1394'!K42,'سال 1395'!K42,'سال 1396'!K42,'سال 1397'!K42,'سال 1398'!K42,'سال 1399'!K42,'سال 1400'!K42,'سال 1401'!K42,'سال 1402'!K42,'سال 1403'!K42)</ns0:f>
        <ns0:v>-0.08093727661019784</ns0:v>
      </ns0:c>
      <ns0:c r="L150" s="78">
        <ns0:f>MAX('سال 1392'!L42,'سال 1393'!L42,'سال 1394'!L42,'سال 1395'!L42,'سال 1396'!L42,'سال 1397'!L42,'سال 1398'!L42,'سال 1399'!L42,'سال 1400'!L42,'سال 1401'!L42,'سال 1402'!L42,'سال 1403'!L42)</ns0:f>
        <ns0:v>-0.11947164176312235</ns0:v>
      </ns0:c>
      <ns0:c r="M150" s="78">
        <ns0:f>MAX('سال 1392'!M42,'سال 1393'!M42,'سال 1394'!M42,'سال 1395'!M42,'سال 1396'!M42,'سال 1397'!M42,'سال 1398'!M42,'سال 1399'!M42,'سال 1400'!M42,'سال 1401'!M42,'سال 1402'!M42,'سال 1403'!M42)</ns0:f>
        <ns0:v>0.05077888470980427</ns0:v>
      </ns0:c>
    </ns0:row>
    <ns0:row r="151" ht="30" customHeight="1">
      <ns0:c r="A151" s="73" t="inlineStr">
        <ns0:is>
          <ns0:t>نان و غلات</ns0:t>
        </ns0:is>
      </ns0:c>
      <ns0:c r="B151" s="78">
        <ns0:f>MAX('سال 1392'!B43,'سال 1393'!B43,'سال 1394'!B43,'سال 1395'!B43,'سال 1396'!B43,'سال 1397'!B43,'سال 1398'!B43,'سال 1399'!B43,'سال 1400'!B43,'سال 1401'!B43,'سال 1402'!B43,'سال 1403'!B43)</ns0:f>
        <ns0:v>0.2203923760557451</ns0:v>
      </ns0:c>
      <ns0:c r="C151" s="77">
        <ns0:f>MAX('سال 1392'!C43,'سال 1393'!C43,'سال 1394'!C43,'سال 1395'!C43,'سال 1396'!C43,'سال 1397'!C43,'سال 1398'!C43,'سال 1399'!C43,'سال 1400'!C43,'سال 1401'!C43,'سال 1402'!C43,'سال 1403'!C43)</ns0:f>
        <ns0:v>-0.3695907370527084</ns0:v>
      </ns0:c>
      <ns0:c r="D151" s="78">
        <ns0:f>MAX('سال 1392'!D43,'سال 1393'!D43,'سال 1394'!D43,'سال 1395'!D43,'سال 1396'!D43,'سال 1397'!D43,'سال 1398'!D43,'سال 1399'!D43,'سال 1400'!D43,'سال 1401'!D43,'سال 1402'!D43,'سال 1403'!D43)</ns0:f>
        <ns0:v>0.5416536008102002</ns0:v>
      </ns0:c>
      <ns0:c r="E151" s="78">
        <ns0:f>MAX('سال 1392'!E43,'سال 1393'!E43,'سال 1394'!E43,'سال 1395'!E43,'سال 1396'!E43,'سال 1397'!E43,'سال 1398'!E43,'سال 1399'!E43,'سال 1400'!E43,'سال 1401'!E43,'سال 1402'!E43,'سال 1403'!E43)</ns0:f>
        <ns0:v>-0.0896659421308825</ns0:v>
      </ns0:c>
      <ns0:c r="F151" s="78">
        <ns0:f>MAX('سال 1392'!F43,'سال 1393'!F43,'سال 1394'!F43,'سال 1395'!F43,'سال 1396'!F43,'سال 1397'!F43,'سال 1398'!F43,'سال 1399'!F43,'سال 1400'!F43,'سال 1401'!F43,'سال 1402'!F43,'سال 1403'!F43)</ns0:f>
        <ns0:v>0.02397162386693864</ns0:v>
      </ns0:c>
      <ns0:c r="G151" s="78">
        <ns0:f>MAX('سال 1392'!G43,'سال 1393'!G43,'سال 1394'!G43,'سال 1395'!G43,'سال 1396'!G43,'سال 1397'!G43,'سال 1398'!G43,'سال 1399'!G43,'سال 1400'!G43,'سال 1401'!G43,'سال 1402'!G43,'سال 1403'!G43)</ns0:f>
        <ns0:v>0.07392060850552763</ns0:v>
      </ns0:c>
      <ns0:c r="H151" s="78">
        <ns0:f>MAX('سال 1392'!H43,'سال 1393'!H43,'سال 1394'!H43,'سال 1395'!H43,'سال 1396'!H43,'سال 1397'!H43,'سال 1398'!H43,'سال 1399'!H43,'سال 1400'!H43,'سال 1401'!H43,'سال 1402'!H43,'سال 1403'!H43)</ns0:f>
        <ns0:v>-0.06560520050398028</ns0:v>
      </ns0:c>
      <ns0:c r="I151" s="78">
        <ns0:f>MAX('سال 1392'!I43,'سال 1393'!I43,'سال 1394'!I43,'سال 1395'!I43,'سال 1396'!I43,'سال 1397'!I43,'سال 1398'!I43,'سال 1399'!I43,'سال 1400'!I43,'سال 1401'!I43,'سال 1402'!I43,'سال 1403'!I43)</ns0:f>
        <ns0:v>0.09063580221042895</ns0:v>
      </ns0:c>
      <ns0:c r="J151" s="78">
        <ns0:f>MAX('سال 1392'!J43,'سال 1393'!J43,'سال 1394'!J43,'سال 1395'!J43,'سال 1396'!J43,'سال 1397'!J43,'سال 1398'!J43,'سال 1399'!J43,'سال 1400'!J43,'سال 1401'!J43,'سال 1402'!J43,'سال 1403'!J43)</ns0:f>
        <ns0:v>0.06123185919264188</ns0:v>
      </ns0:c>
      <ns0:c r="K151" s="78">
        <ns0:f>MAX('سال 1392'!K43,'سال 1393'!K43,'سال 1394'!K43,'سال 1395'!K43,'سال 1396'!K43,'سال 1397'!K43,'سال 1398'!K43,'سال 1399'!K43,'سال 1400'!K43,'سال 1401'!K43,'سال 1402'!K43,'سال 1403'!K43)</ns0:f>
        <ns0:v>0.008440662920352924</ns0:v>
      </ns0:c>
      <ns0:c r="L151" s="78">
        <ns0:f>MAX('سال 1392'!L43,'سال 1393'!L43,'سال 1394'!L43,'سال 1395'!L43,'سال 1396'!L43,'سال 1397'!L43,'سال 1398'!L43,'سال 1399'!L43,'سال 1400'!L43,'سال 1401'!L43,'سال 1402'!L43,'سال 1403'!L43)</ns0:f>
        <ns0:v>0.1899298770754205</ns0:v>
      </ns0:c>
      <ns0:c r="M151" s="78">
        <ns0:f>MAX('سال 1392'!M43,'سال 1393'!M43,'سال 1394'!M43,'سال 1395'!M43,'سال 1396'!M43,'سال 1397'!M43,'سال 1398'!M43,'سال 1399'!M43,'سال 1400'!M43,'سال 1401'!M43,'سال 1402'!M43,'سال 1403'!M43)</ns0:f>
        <ns0:v>-0.028044707147751827</ns0:v>
      </ns0:c>
    </ns0:row>
    <ns0:row r="152" ht="30" customHeight="1">
      <ns0:c r="A152" s="73" t="inlineStr">
        <ns0:is>
          <ns0:t>گوشت</ns0:t>
        </ns0:is>
      </ns0:c>
      <ns0:c r="B152" s="78">
        <ns0:f>MAX('سال 1392'!B44,'سال 1393'!B44,'سال 1394'!B44,'سال 1395'!B44,'سال 1396'!B44,'سال 1397'!B44,'سال 1398'!B44,'سال 1399'!B44,'سال 1400'!B44,'سال 1401'!B44,'سال 1402'!B44,'سال 1403'!B44)</ns0:f>
        <ns0:v>0.0015669995213307246</ns0:v>
      </ns0:c>
      <ns0:c r="C152" s="78">
        <ns0:f>MAX('سال 1392'!C44,'سال 1393'!C44,'سال 1394'!C44,'سال 1395'!C44,'سال 1396'!C44,'سال 1397'!C44,'سال 1398'!C44,'سال 1399'!C44,'سال 1400'!C44,'سال 1401'!C44,'سال 1402'!C44,'سال 1403'!C44)</ns0:f>
        <ns0:v>0.023343408114285223</ns0:v>
      </ns0:c>
      <ns0:c r="D152" s="77">
        <ns0:f>MAX('سال 1392'!D44,'سال 1393'!D44,'سال 1394'!D44,'سال 1395'!D44,'سال 1396'!D44,'سال 1397'!D44,'سال 1398'!D44,'سال 1399'!D44,'سال 1400'!D44,'سال 1401'!D44,'سال 1402'!D44,'سال 1403'!D44)</ns0:f>
        <ns0:v>-0.918325015490065</ns0:v>
      </ns0:c>
      <ns0:c r="E152" s="78">
        <ns0:f>MAX('سال 1392'!E44,'سال 1393'!E44,'سال 1394'!E44,'سال 1395'!E44,'سال 1396'!E44,'سال 1397'!E44,'سال 1398'!E44,'سال 1399'!E44,'سال 1400'!E44,'سال 1401'!E44,'سال 1402'!E44,'سال 1403'!E44)</ns0:f>
        <ns0:v>-0.017109593307903223</ns0:v>
      </ns0:c>
      <ns0:c r="F152" s="78">
        <ns0:f>MAX('سال 1392'!F44,'سال 1393'!F44,'سال 1394'!F44,'سال 1395'!F44,'سال 1396'!F44,'سال 1397'!F44,'سال 1398'!F44,'سال 1399'!F44,'سال 1400'!F44,'سال 1401'!F44,'سال 1402'!F44,'سال 1403'!F44)</ns0:f>
        <ns0:v>-0.06413044371904288</ns0:v>
      </ns0:c>
      <ns0:c r="G152" s="78">
        <ns0:f>MAX('سال 1392'!G44,'سال 1393'!G44,'سال 1394'!G44,'سال 1395'!G44,'سال 1396'!G44,'سال 1397'!G44,'سال 1398'!G44,'سال 1399'!G44,'سال 1400'!G44,'سال 1401'!G44,'سال 1402'!G44,'سال 1403'!G44)</ns0:f>
        <ns0:v>-0.002610104950949189</ns0:v>
      </ns0:c>
      <ns0:c r="H152" s="78">
        <ns0:f>MAX('سال 1392'!H44,'سال 1393'!H44,'سال 1394'!H44,'سال 1395'!H44,'سال 1396'!H44,'سال 1397'!H44,'سال 1398'!H44,'سال 1399'!H44,'سال 1400'!H44,'سال 1401'!H44,'سال 1402'!H44,'سال 1403'!H44)</ns0:f>
        <ns0:v>-0.08392915411509798</ns0:v>
      </ns0:c>
      <ns0:c r="I152" s="78">
        <ns0:f>MAX('سال 1392'!I44,'سال 1393'!I44,'سال 1394'!I44,'سال 1395'!I44,'سال 1396'!I44,'سال 1397'!I44,'سال 1398'!I44,'سال 1399'!I44,'سال 1400'!I44,'سال 1401'!I44,'سال 1402'!I44,'سال 1403'!I44)</ns0:f>
        <ns0:v>-0.018698682258009663</ns0:v>
      </ns0:c>
      <ns0:c r="J152" s="78">
        <ns0:f>MAX('سال 1392'!J44,'سال 1393'!J44,'سال 1394'!J44,'سال 1395'!J44,'سال 1396'!J44,'سال 1397'!J44,'سال 1398'!J44,'سال 1399'!J44,'سال 1400'!J44,'سال 1401'!J44,'سال 1402'!J44,'سال 1403'!J44)</ns0:f>
        <ns0:v>-0.03183722671275985</ns0:v>
      </ns0:c>
      <ns0:c r="K152" s="78">
        <ns0:f>MAX('سال 1392'!K44,'سال 1393'!K44,'سال 1394'!K44,'سال 1395'!K44,'سال 1396'!K44,'سال 1397'!K44,'سال 1398'!K44,'سال 1399'!K44,'سال 1400'!K44,'سال 1401'!K44,'سال 1402'!K44,'سال 1403'!K44)</ns0:f>
        <ns0:v>0.0001634294484798176</ns0:v>
      </ns0:c>
      <ns0:c r="L152" s="78">
        <ns0:f>MAX('سال 1392'!L44,'سال 1393'!L44,'سال 1394'!L44,'سال 1395'!L44,'سال 1396'!L44,'سال 1397'!L44,'سال 1398'!L44,'سال 1399'!L44,'سال 1400'!L44,'سال 1401'!L44,'سال 1402'!L44,'سال 1403'!L44)</ns0:f>
        <ns0:v>-0.03929895922407871</ns0:v>
      </ns0:c>
      <ns0:c r="M152" s="78">
        <ns0:f>MAX('سال 1392'!M44,'سال 1393'!M44,'سال 1394'!M44,'سال 1395'!M44,'سال 1396'!M44,'سال 1397'!M44,'سال 1398'!M44,'سال 1399'!M44,'سال 1400'!M44,'سال 1401'!M44,'سال 1402'!M44,'سال 1403'!M44)</ns0:f>
        <ns0:v>-0.03853410554431415</ns0:v>
      </ns0:c>
    </ns0:row>
    <ns0:row r="153" ht="30" customHeight="1">
      <ns0:c r="A153" s="73" t="inlineStr">
        <ns0:is>
          <ns0:t>لبنیات و تخم‌مرغ</ns0:t>
        </ns0:is>
      </ns0:c>
      <ns0:c r="B153" s="78">
        <ns0:f>MAX('سال 1392'!B45,'سال 1393'!B45,'سال 1394'!B45,'سال 1395'!B45,'سال 1396'!B45,'سال 1397'!B45,'سال 1398'!B45,'سال 1399'!B45,'سال 1400'!B45,'سال 1401'!B45,'سال 1402'!B45,'سال 1403'!B45)</ns0:f>
        <ns0:v>0.11915489314763696</ns0:v>
      </ns0:c>
      <ns0:c r="C153" s="78">
        <ns0:f>MAX('سال 1392'!C45,'سال 1393'!C45,'سال 1394'!C45,'سال 1395'!C45,'سال 1396'!C45,'سال 1397'!C45,'سال 1398'!C45,'سال 1399'!C45,'سال 1400'!C45,'سال 1401'!C45,'سال 1402'!C45,'سال 1403'!C45)</ns0:f>
        <ns0:v>-0.14999048027304737</ns0:v>
      </ns0:c>
      <ns0:c r="D153" s="78">
        <ns0:f>MAX('سال 1392'!D45,'سال 1393'!D45,'سال 1394'!D45,'سال 1395'!D45,'سال 1396'!D45,'سال 1397'!D45,'سال 1398'!D45,'سال 1399'!D45,'سال 1400'!D45,'سال 1401'!D45,'سال 1402'!D45,'سال 1403'!D45)</ns0:f>
        <ns0:v>0.06797125321971596</ns0:v>
      </ns0:c>
      <ns0:c r="E153" s="77">
        <ns0:f>MAX('سال 1392'!E45,'سال 1393'!E45,'سال 1394'!E45,'سال 1395'!E45,'سال 1396'!E45,'سال 1397'!E45,'سال 1398'!E45,'سال 1399'!E45,'سال 1400'!E45,'سال 1401'!E45,'سال 1402'!E45,'سال 1403'!E45)</ns0:f>
        <ns0:v>-0.7772497923370985</ns0:v>
      </ns0:c>
      <ns0:c r="F153" s="78">
        <ns0:f>MAX('سال 1392'!F45,'سال 1393'!F45,'سال 1394'!F45,'سال 1395'!F45,'سال 1396'!F45,'سال 1397'!F45,'سال 1398'!F45,'سال 1399'!F45,'سال 1400'!F45,'سال 1401'!F45,'سال 1402'!F45,'سال 1403'!F45)</ns0:f>
        <ns0:v>-0.005238755060709817</ns0:v>
      </ns0:c>
      <ns0:c r="G153" s="78">
        <ns0:f>MAX('سال 1392'!G45,'سال 1393'!G45,'سال 1394'!G45,'سال 1395'!G45,'سال 1396'!G45,'سال 1397'!G45,'سال 1398'!G45,'سال 1399'!G45,'سال 1400'!G45,'سال 1401'!G45,'سال 1402'!G45,'سال 1403'!G45)</ns0:f>
        <ns0:v>0.0380457308998618</ns0:v>
      </ns0:c>
      <ns0:c r="H153" s="78">
        <ns0:f>MAX('سال 1392'!H45,'سال 1393'!H45,'سال 1394'!H45,'سال 1395'!H45,'سال 1396'!H45,'سال 1397'!H45,'سال 1398'!H45,'سال 1399'!H45,'سال 1400'!H45,'سال 1401'!H45,'سال 1402'!H45,'سال 1403'!H45)</ns0:f>
        <ns0:v>-0.12327747874897198</ns0:v>
      </ns0:c>
      <ns0:c r="I153" s="78">
        <ns0:f>MAX('سال 1392'!I45,'سال 1393'!I45,'سال 1394'!I45,'سال 1395'!I45,'سال 1396'!I45,'سال 1397'!I45,'سال 1398'!I45,'سال 1399'!I45,'سال 1400'!I45,'سال 1401'!I45,'سال 1402'!I45,'سال 1403'!I45)</ns0:f>
        <ns0:v>0.04748240707466811</ns0:v>
      </ns0:c>
      <ns0:c r="J153" s="78">
        <ns0:f>MAX('سال 1392'!J45,'سال 1393'!J45,'سال 1394'!J45,'سال 1395'!J45,'سال 1396'!J45,'سال 1397'!J45,'سال 1398'!J45,'سال 1399'!J45,'سال 1400'!J45,'سال 1401'!J45,'سال 1402'!J45,'سال 1403'!J45)</ns0:f>
        <ns0:v>0.11335529824705232</ns0:v>
      </ns0:c>
      <ns0:c r="K153" s="78">
        <ns0:f>MAX('سال 1392'!K45,'سال 1393'!K45,'سال 1394'!K45,'سال 1395'!K45,'سال 1396'!K45,'سال 1397'!K45,'سال 1398'!K45,'سال 1399'!K45,'سال 1400'!K45,'سال 1401'!K45,'سال 1402'!K45,'سال 1403'!K45)</ns0:f>
        <ns0:v>-0.043551045731393435</ns0:v>
      </ns0:c>
      <ns0:c r="L153" s="78">
        <ns0:f>MAX('سال 1392'!L45,'سال 1393'!L45,'سال 1394'!L45,'سال 1395'!L45,'سال 1396'!L45,'سال 1397'!L45,'سال 1398'!L45,'سال 1399'!L45,'سال 1400'!L45,'سال 1401'!L45,'سال 1402'!L45,'سال 1403'!L45)</ns0:f>
        <ns0:v>0.11952184577017527</ns0:v>
      </ns0:c>
      <ns0:c r="M153" s="78">
        <ns0:f>MAX('سال 1392'!M45,'سال 1393'!M45,'سال 1394'!M45,'سال 1395'!M45,'سال 1396'!M45,'سال 1397'!M45,'سال 1398'!M45,'سال 1399'!M45,'سال 1400'!M45,'سال 1401'!M45,'سال 1402'!M45,'سال 1403'!M45)</ns0:f>
        <ns0:v>-0.09793193456943745</ns0:v>
      </ns0:c>
    </ns0:row>
    <ns0:row r="154" ht="30" customHeight="1">
      <ns0:c r="A154" s="73" t="inlineStr">
        <ns0:is>
          <ns0:t>روغن و چربی</ns0:t>
        </ns0:is>
      </ns0:c>
      <ns0:c r="B154" s="78">
        <ns0:f>MAX('سال 1392'!B46,'سال 1393'!B46,'سال 1394'!B46,'سال 1395'!B46,'سال 1396'!B46,'سال 1397'!B46,'سال 1398'!B46,'سال 1399'!B46,'سال 1400'!B46,'سال 1401'!B46,'سال 1402'!B46,'سال 1403'!B46)</ns0:f>
        <ns0:v>0.020395612167453586</ns0:v>
      </ns0:c>
      <ns0:c r="C154" s="78">
        <ns0:f>MAX('سال 1392'!C46,'سال 1393'!C46,'سال 1394'!C46,'سال 1395'!C46,'سال 1396'!C46,'سال 1397'!C46,'سال 1398'!C46,'سال 1399'!C46,'سال 1400'!C46,'سال 1401'!C46,'سال 1402'!C46,'سال 1403'!C46)</ns0:f>
        <ns0:v>-0.08326104568384256</ns0:v>
      </ns0:c>
      <ns0:c r="D154" s="78">
        <ns0:f>MAX('سال 1392'!D46,'سال 1393'!D46,'سال 1394'!D46,'سال 1395'!D46,'سال 1396'!D46,'سال 1397'!D46,'سال 1398'!D46,'سال 1399'!D46,'سال 1400'!D46,'سال 1401'!D46,'سال 1402'!D46,'سال 1403'!D46)</ns0:f>
        <ns0:v>-0.18326935754144813</ns0:v>
      </ns0:c>
      <ns0:c r="E154" s="78">
        <ns0:f>MAX('سال 1392'!E46,'سال 1393'!E46,'سال 1394'!E46,'سال 1395'!E46,'سال 1396'!E46,'سال 1397'!E46,'سال 1398'!E46,'سال 1399'!E46,'سال 1400'!E46,'سال 1401'!E46,'سال 1402'!E46,'سال 1403'!E46)</ns0:f>
        <ns0:v>0.09809134601839681</ns0:v>
      </ns0:c>
      <ns0:c r="F154" s="77">
        <ns0:f>MAX('سال 1392'!F46,'سال 1393'!F46,'سال 1394'!F46,'سال 1395'!F46,'سال 1396'!F46,'سال 1397'!F46,'سال 1398'!F46,'سال 1399'!F46,'سال 1400'!F46,'سال 1401'!F46,'سال 1402'!F46,'سال 1403'!F46)</ns0:f>
        <ns0:v>-0.3792214458267045</ns0:v>
      </ns0:c>
      <ns0:c r="G154" s="78">
        <ns0:f>MAX('سال 1392'!G46,'سال 1393'!G46,'سال 1394'!G46,'سال 1395'!G46,'سال 1396'!G46,'سال 1397'!G46,'سال 1398'!G46,'سال 1399'!G46,'سال 1400'!G46,'سال 1401'!G46,'سال 1402'!G46,'سال 1403'!G46)</ns0:f>
        <ns0:v>-0.05007782471049259</ns0:v>
      </ns0:c>
      <ns0:c r="H154" s="78">
        <ns0:f>MAX('سال 1392'!H46,'سال 1393'!H46,'سال 1394'!H46,'سال 1395'!H46,'سال 1396'!H46,'سال 1397'!H46,'سال 1398'!H46,'سال 1399'!H46,'سال 1400'!H46,'سال 1401'!H46,'سال 1402'!H46,'سال 1403'!H46)</ns0:f>
        <ns0:v>-0.10546257809055357</ns0:v>
      </ns0:c>
      <ns0:c r="I154" s="78">
        <ns0:f>MAX('سال 1392'!I46,'سال 1393'!I46,'سال 1394'!I46,'سال 1395'!I46,'سال 1396'!I46,'سال 1397'!I46,'سال 1398'!I46,'سال 1399'!I46,'سال 1400'!I46,'سال 1401'!I46,'سال 1402'!I46,'سال 1403'!I46)</ns0:f>
        <ns0:v>-0.1131577722191121</ns0:v>
      </ns0:c>
      <ns0:c r="J154" s="78">
        <ns0:f>MAX('سال 1392'!J46,'سال 1393'!J46,'سال 1394'!J46,'سال 1395'!J46,'سال 1396'!J46,'سال 1397'!J46,'سال 1398'!J46,'سال 1399'!J46,'سال 1400'!J46,'سال 1401'!J46,'سال 1402'!J46,'سال 1403'!J46)</ns0:f>
        <ns0:v>0.0392980728681913</ns0:v>
      </ns0:c>
      <ns0:c r="K154" s="78">
        <ns0:f>MAX('سال 1392'!K46,'سال 1393'!K46,'سال 1394'!K46,'سال 1395'!K46,'سال 1396'!K46,'سال 1397'!K46,'سال 1398'!K46,'سال 1399'!K46,'سال 1400'!K46,'سال 1401'!K46,'سال 1402'!K46,'سال 1403'!K46)</ns0:f>
        <ns0:v>-0.012667541067300595</ns0:v>
      </ns0:c>
      <ns0:c r="L154" s="78">
        <ns0:f>MAX('سال 1392'!L46,'سال 1393'!L46,'سال 1394'!L46,'سال 1395'!L46,'سال 1396'!L46,'سال 1397'!L46,'سال 1398'!L46,'سال 1399'!L46,'سال 1400'!L46,'سال 1401'!L46,'سال 1402'!L46,'سال 1403'!L46)</ns0:f>
        <ns0:v>-0.06858962306150647</ns0:v>
      </ns0:c>
      <ns0:c r="M154" s="78">
        <ns0:f>MAX('سال 1392'!M46,'سال 1393'!M46,'سال 1394'!M46,'سال 1395'!M46,'سال 1396'!M46,'سال 1397'!M46,'سال 1398'!M46,'سال 1399'!M46,'سال 1400'!M46,'سال 1401'!M46,'سال 1402'!M46,'سال 1403'!M46)</ns0:f>
        <ns0:v>-0.007494416782597432</ns0:v>
      </ns0:c>
    </ns0:row>
    <ns0:row r="155" ht="30" customHeight="1">
      <ns0:c r="A155" s="73" t="inlineStr">
        <ns0:is>
          <ns0:t>میوه</ns0:t>
        </ns0:is>
      </ns0:c>
      <ns0:c r="B155" s="78">
        <ns0:f>MAX('سال 1392'!B47,'سال 1393'!B47,'سال 1394'!B47,'سال 1395'!B47,'سال 1396'!B47,'سال 1397'!B47,'سال 1398'!B47,'سال 1399'!B47,'سال 1400'!B47,'سال 1401'!B47,'سال 1402'!B47,'سال 1403'!B47)</ns0:f>
        <ns0:v>-0.153611790293193</ns0:v>
      </ns0:c>
      <ns0:c r="C155" s="78">
        <ns0:f>MAX('سال 1392'!C47,'سال 1393'!C47,'سال 1394'!C47,'سال 1395'!C47,'سال 1396'!C47,'سال 1397'!C47,'سال 1398'!C47,'سال 1399'!C47,'سال 1400'!C47,'سال 1401'!C47,'سال 1402'!C47,'سال 1403'!C47)</ns0:f>
        <ns0:v>0.0011912997681172701</ns0:v>
      </ns0:c>
      <ns0:c r="D155" s="78">
        <ns0:f>MAX('سال 1392'!D47,'سال 1393'!D47,'سال 1394'!D47,'سال 1395'!D47,'سال 1396'!D47,'سال 1397'!D47,'سال 1398'!D47,'سال 1399'!D47,'سال 1400'!D47,'سال 1401'!D47,'سال 1402'!D47,'سال 1403'!D47)</ns0:f>
        <ns0:v>0.009495582871097101</ns0:v>
      </ns0:c>
      <ns0:c r="E155" s="78">
        <ns0:f>MAX('سال 1392'!E47,'سال 1393'!E47,'سال 1394'!E47,'سال 1395'!E47,'سال 1396'!E47,'سال 1397'!E47,'سال 1398'!E47,'سال 1399'!E47,'سال 1400'!E47,'سال 1401'!E47,'سال 1402'!E47,'سال 1403'!E47)</ns0:f>
        <ns0:v>0.0550166044464333</ns0:v>
      </ns0:c>
      <ns0:c r="F155" s="78">
        <ns0:f>MAX('سال 1392'!F47,'سال 1393'!F47,'سال 1394'!F47,'سال 1395'!F47,'سال 1396'!F47,'سال 1397'!F47,'سال 1398'!F47,'سال 1399'!F47,'سال 1400'!F47,'سال 1401'!F47,'سال 1402'!F47,'سال 1403'!F47)</ns0:f>
        <ns0:v>-0.08175498946777292</ns0:v>
      </ns0:c>
      <ns0:c r="G155" s="77">
        <ns0:f>MAX('سال 1392'!G47,'سال 1393'!G47,'سال 1394'!G47,'سال 1395'!G47,'سال 1396'!G47,'سال 1397'!G47,'سال 1398'!G47,'سال 1399'!G47,'سال 1400'!G47,'سال 1401'!G47,'سال 1402'!G47,'سال 1403'!G47)</ns0:f>
        <ns0:v>-1.0136901470783568</ns0:v>
      </ns0:c>
      <ns0:c r="H155" s="78">
        <ns0:f>MAX('سال 1392'!H47,'سال 1393'!H47,'سال 1394'!H47,'سال 1395'!H47,'سال 1396'!H47,'سال 1397'!H47,'سال 1398'!H47,'سال 1399'!H47,'سال 1400'!H47,'سال 1401'!H47,'سال 1402'!H47,'سال 1403'!H47)</ns0:f>
        <ns0:v>0.12386741252009645</ns0:v>
      </ns0:c>
      <ns0:c r="I155" s="78">
        <ns0:f>MAX('سال 1392'!I47,'سال 1393'!I47,'سال 1394'!I47,'سال 1395'!I47,'سال 1396'!I47,'سال 1397'!I47,'سال 1398'!I47,'سال 1399'!I47,'سال 1400'!I47,'سال 1401'!I47,'سال 1402'!I47,'سال 1403'!I47)</ns0:f>
        <ns0:v>-0.03771886158377067</ns0:v>
      </ns0:c>
      <ns0:c r="J155" s="78">
        <ns0:f>MAX('سال 1392'!J47,'سال 1393'!J47,'سال 1394'!J47,'سال 1395'!J47,'سال 1396'!J47,'سال 1397'!J47,'سال 1398'!J47,'سال 1399'!J47,'سال 1400'!J47,'سال 1401'!J47,'سال 1402'!J47,'سال 1403'!J47)</ns0:f>
        <ns0:v>-0.18839406705491676</ns0:v>
      </ns0:c>
      <ns0:c r="K155" s="78">
        <ns0:f>MAX('سال 1392'!K47,'سال 1393'!K47,'سال 1394'!K47,'سال 1395'!K47,'سال 1396'!K47,'سال 1397'!K47,'سال 1398'!K47,'سال 1399'!K47,'سال 1400'!K47,'سال 1401'!K47,'سال 1402'!K47,'سال 1403'!K47)</ns0:f>
        <ns0:v>0.06363698500718139</ns0:v>
      </ns0:c>
      <ns0:c r="L155" s="78">
        <ns0:f>MAX('سال 1392'!L47,'سال 1393'!L47,'سال 1394'!L47,'سال 1395'!L47,'سال 1396'!L47,'سال 1397'!L47,'سال 1398'!L47,'سال 1399'!L47,'سال 1400'!L47,'سال 1401'!L47,'سال 1402'!L47,'سال 1403'!L47)</ns0:f>
        <ns0:v>-0.027702608332730645</ns0:v>
      </ns0:c>
      <ns0:c r="M155" s="78">
        <ns0:f>MAX('سال 1392'!M47,'سال 1393'!M47,'سال 1394'!M47,'سال 1395'!M47,'سال 1396'!M47,'سال 1397'!M47,'سال 1398'!M47,'سال 1399'!M47,'سال 1400'!M47,'سال 1401'!M47,'سال 1402'!M47,'سال 1403'!M47)</ns0:f>
        <ns0:v>0.03337571887460409</ns0:v>
      </ns0:c>
    </ns0:row>
    <ns0:row r="156" ht="30" customHeight="1">
      <ns0:c r="A156" s="73" t="inlineStr">
        <ns0:is>
          <ns0:t>سبزیجات و سیب‌زمینی</ns0:t>
        </ns0:is>
      </ns0:c>
      <ns0:c r="B156" s="78">
        <ns0:f>MAX('سال 1392'!B48,'سال 1393'!B48,'سال 1394'!B48,'سال 1395'!B48,'سال 1396'!B48,'سال 1397'!B48,'سال 1398'!B48,'سال 1399'!B48,'سال 1400'!B48,'سال 1401'!B48,'سال 1402'!B48,'سال 1403'!B48)</ns0:f>
        <ns0:v>-0.007597720229902428</ns0:v>
      </ns0:c>
      <ns0:c r="C156" s="78">
        <ns0:f>MAX('سال 1392'!C48,'سال 1393'!C48,'سال 1394'!C48,'سال 1395'!C48,'سال 1396'!C48,'سال 1397'!C48,'سال 1398'!C48,'سال 1399'!C48,'سال 1400'!C48,'سال 1401'!C48,'سال 1402'!C48,'سال 1403'!C48)</ns0:f>
        <ns0:v>-0.10939165226508664</ns0:v>
      </ns0:c>
      <ns0:c r="D156" s="78">
        <ns0:f>MAX('سال 1392'!D48,'سال 1393'!D48,'سال 1394'!D48,'سال 1395'!D48,'سال 1396'!D48,'سال 1397'!D48,'سال 1398'!D48,'سال 1399'!D48,'سال 1400'!D48,'سال 1401'!D48,'سال 1402'!D48,'سال 1403'!D48)</ns0:f>
        <ns0:v>-0.03925229838542573</ns0:v>
      </ns0:c>
      <ns0:c r="E156" s="78">
        <ns0:f>MAX('سال 1392'!E48,'سال 1393'!E48,'سال 1394'!E48,'سال 1395'!E48,'سال 1396'!E48,'سال 1397'!E48,'سال 1398'!E48,'سال 1399'!E48,'سال 1400'!E48,'سال 1401'!E48,'سال 1402'!E48,'سال 1403'!E48)</ns0:f>
        <ns0:v>-0.11329659519916524</ns0:v>
      </ns0:c>
      <ns0:c r="F156" s="78">
        <ns0:f>MAX('سال 1392'!F48,'سال 1393'!F48,'سال 1394'!F48,'سال 1395'!F48,'سال 1396'!F48,'سال 1397'!F48,'سال 1398'!F48,'سال 1399'!F48,'سال 1400'!F48,'سال 1401'!F48,'سال 1402'!F48,'سال 1403'!F48)</ns0:f>
        <ns0:v>0.0046748226313435785</ns0:v>
      </ns0:c>
      <ns0:c r="G156" s="78">
        <ns0:f>MAX('سال 1392'!G48,'سال 1393'!G48,'سال 1394'!G48,'سال 1395'!G48,'سال 1396'!G48,'سال 1397'!G48,'سال 1398'!G48,'سال 1399'!G48,'سال 1400'!G48,'سال 1401'!G48,'سال 1402'!G48,'سال 1403'!G48)</ns0:f>
        <ns0:v>0.06439652605078132</ns0:v>
      </ns0:c>
      <ns0:c r="H156" s="77">
        <ns0:f>MAX('سال 1392'!H48,'سال 1393'!H48,'سال 1394'!H48,'سال 1395'!H48,'سال 1396'!H48,'سال 1397'!H48,'سال 1398'!H48,'سال 1399'!H48,'سال 1400'!H48,'سال 1401'!H48,'سال 1402'!H48,'سال 1403'!H48)</ns0:f>
        <ns0:v>-0.33222835512771287</ns0:v>
      </ns0:c>
      <ns0:c r="I156" s="78">
        <ns0:f>MAX('سال 1392'!I48,'سال 1393'!I48,'سال 1394'!I48,'سال 1395'!I48,'سال 1396'!I48,'سال 1397'!I48,'سال 1398'!I48,'سال 1399'!I48,'سال 1400'!I48,'سال 1401'!I48,'سال 1402'!I48,'سال 1403'!I48)</ns0:f>
        <ns0:v>0.009717866394781782</ns0:v>
      </ns0:c>
      <ns0:c r="J156" s="78">
        <ns0:f>MAX('سال 1392'!J48,'سال 1393'!J48,'سال 1394'!J48,'سال 1395'!J48,'سال 1396'!J48,'سال 1397'!J48,'سال 1398'!J48,'سال 1399'!J48,'سال 1400'!J48,'سال 1401'!J48,'سال 1402'!J48,'سال 1403'!J48)</ns0:f>
        <ns0:v>0.01582915197254802</ns0:v>
      </ns0:c>
      <ns0:c r="K156" s="78">
        <ns0:f>MAX('سال 1392'!K48,'سال 1393'!K48,'سال 1394'!K48,'سال 1395'!K48,'سال 1396'!K48,'سال 1397'!K48,'سال 1398'!K48,'سال 1399'!K48,'سال 1400'!K48,'سال 1401'!K48,'سال 1402'!K48,'سال 1403'!K48)</ns0:f>
        <ns0:v>-0.05756610073298534</ns0:v>
      </ns0:c>
      <ns0:c r="L156" s="78">
        <ns0:f>MAX('سال 1392'!L48,'سال 1393'!L48,'سال 1394'!L48,'سال 1395'!L48,'سال 1396'!L48,'سال 1397'!L48,'سال 1398'!L48,'سال 1399'!L48,'سال 1400'!L48,'سال 1401'!L48,'سال 1402'!L48,'سال 1403'!L48)</ns0:f>
        <ns0:v>0.0754348088695219</ns0:v>
      </ns0:c>
      <ns0:c r="M156" s="78">
        <ns0:f>MAX('سال 1392'!M48,'سال 1393'!M48,'سال 1394'!M48,'سال 1395'!M48,'سال 1396'!M48,'سال 1397'!M48,'سال 1398'!M48,'سال 1399'!M48,'سال 1400'!M48,'سال 1401'!M48,'سال 1402'!M48,'سال 1403'!M48)</ns0:f>
        <ns0:v>-0.007459528563141745</ns0:v>
      </ns0:c>
    </ns0:row>
    <ns0:row r="157" ht="30" customHeight="1">
      <ns0:c r="A157" s="73" t="inlineStr">
        <ns0:is>
          <ns0:t>حبوبات</ns0:t>
        </ns0:is>
      </ns0:c>
      <ns0:c r="B157" s="78">
        <ns0:f>MAX('سال 1392'!B49,'سال 1393'!B49,'سال 1394'!B49,'سال 1395'!B49,'سال 1396'!B49,'سال 1397'!B49,'سال 1398'!B49,'سال 1399'!B49,'سال 1400'!B49,'سال 1401'!B49,'سال 1402'!B49,'سال 1403'!B49)</ns0:f>
        <ns0:v>-0.07185377006078526</ns0:v>
      </ns0:c>
      <ns0:c r="C157" s="78">
        <ns0:f>MAX('سال 1392'!C49,'سال 1393'!C49,'سال 1394'!C49,'سال 1395'!C49,'سال 1396'!C49,'سال 1397'!C49,'سال 1398'!C49,'سال 1399'!C49,'سال 1400'!C49,'سال 1401'!C49,'سال 1402'!C49,'سال 1403'!C49)</ns0:f>
        <ns0:v>0.007183379474854164</ns0:v>
      </ns0:c>
      <ns0:c r="D157" s="78">
        <ns0:f>MAX('سال 1392'!D49,'سال 1393'!D49,'سال 1394'!D49,'سال 1395'!D49,'سال 1396'!D49,'سال 1397'!D49,'سال 1398'!D49,'سال 1399'!D49,'سال 1400'!D49,'سال 1401'!D49,'سال 1402'!D49,'سال 1403'!D49)</ns0:f>
        <ns0:v>-9.021234743895713e-05</ns0:v>
      </ns0:c>
      <ns0:c r="E157" s="78">
        <ns0:f>MAX('سال 1392'!E49,'سال 1393'!E49,'سال 1394'!E49,'سال 1395'!E49,'سال 1396'!E49,'سال 1397'!E49,'سال 1398'!E49,'سال 1399'!E49,'سال 1400'!E49,'سال 1401'!E49,'سال 1402'!E49,'سال 1403'!E49)</ns0:f>
        <ns0:v>0.22788550589269246</ns0:v>
      </ns0:c>
      <ns0:c r="F157" s="78">
        <ns0:f>MAX('سال 1392'!F49,'سال 1393'!F49,'سال 1394'!F49,'سال 1395'!F49,'سال 1396'!F49,'سال 1397'!F49,'سال 1398'!F49,'سال 1399'!F49,'سال 1400'!F49,'سال 1401'!F49,'سال 1402'!F49,'سال 1403'!F49)</ns0:f>
        <ns0:v>-0.10419993163032622</ns0:v>
      </ns0:c>
      <ns0:c r="G157" s="78">
        <ns0:f>MAX('سال 1392'!G49,'سال 1393'!G49,'سال 1394'!G49,'سال 1395'!G49,'سال 1396'!G49,'سال 1397'!G49,'سال 1398'!G49,'سال 1399'!G49,'سال 1400'!G49,'سال 1401'!G49,'سال 1402'!G49,'سال 1403'!G49)</ns0:f>
        <ns0:v>-0.061169952508306036</ns0:v>
      </ns0:c>
      <ns0:c r="H157" s="78">
        <ns0:f>MAX('سال 1392'!H49,'سال 1393'!H49,'سال 1394'!H49,'سال 1395'!H49,'سال 1396'!H49,'سال 1397'!H49,'سال 1398'!H49,'سال 1399'!H49,'سال 1400'!H49,'سال 1401'!H49,'سال 1402'!H49,'سال 1403'!H49)</ns0:f>
        <ns0:v>-0.12934586854709024</ns0:v>
      </ns0:c>
      <ns0:c r="I157" s="77">
        <ns0:f>MAX('سال 1392'!I49,'سال 1393'!I49,'سال 1394'!I49,'سال 1395'!I49,'سال 1396'!I49,'سال 1397'!I49,'سال 1398'!I49,'سال 1399'!I49,'سال 1400'!I49,'سال 1401'!I49,'سال 1402'!I49,'سال 1403'!I49)</ns0:f>
        <ns0:v>-0.6986454876523367</ns0:v>
      </ns0:c>
      <ns0:c r="J157" s="78">
        <ns0:f>MAX('سال 1392'!J49,'سال 1393'!J49,'سال 1394'!J49,'سال 1395'!J49,'سال 1396'!J49,'سال 1397'!J49,'سال 1398'!J49,'سال 1399'!J49,'سال 1400'!J49,'سال 1401'!J49,'سال 1402'!J49,'سال 1403'!J49)</ns0:f>
        <ns0:v>-0.10366851904384149</ns0:v>
      </ns0:c>
      <ns0:c r="K157" s="78">
        <ns0:f>MAX('سال 1392'!K49,'سال 1393'!K49,'سال 1394'!K49,'سال 1395'!K49,'سال 1396'!K49,'سال 1397'!K49,'سال 1398'!K49,'سال 1399'!K49,'سال 1400'!K49,'سال 1401'!K49,'سال 1402'!K49,'سال 1403'!K49)</ns0:f>
        <ns0:v>-0.15782142049553483</ns0:v>
      </ns0:c>
      <ns0:c r="L157" s="78">
        <ns0:f>MAX('سال 1392'!L49,'سال 1393'!L49,'سال 1394'!L49,'سال 1395'!L49,'سال 1396'!L49,'سال 1397'!L49,'سال 1398'!L49,'سال 1399'!L49,'سال 1400'!L49,'سال 1401'!L49,'سال 1402'!L49,'سال 1403'!L49)</ns0:f>
        <ns0:v>0.019725860801759577</ns0:v>
      </ns0:c>
      <ns0:c r="M157" s="78">
        <ns0:f>MAX('سال 1392'!M49,'سال 1393'!M49,'سال 1394'!M49,'سال 1395'!M49,'سال 1396'!M49,'سال 1397'!M49,'سال 1398'!M49,'سال 1399'!M49,'سال 1400'!M49,'سال 1401'!M49,'سال 1402'!M49,'سال 1403'!M49)</ns0:f>
        <ns0:v>-0.0008230842304435671</ns0:v>
      </ns0:c>
    </ns0:row>
    <ns0:row r="158" ht="30" customHeight="1">
      <ns0:c r="A158" s="73" t="inlineStr">
        <ns0:is>
          <ns0:t>مغزها، خشکبار و خرما</ns0:t>
        </ns0:is>
      </ns0:c>
      <ns0:c r="B158" s="78">
        <ns0:f>MAX('سال 1392'!B50,'سال 1393'!B50,'سال 1394'!B50,'سال 1395'!B50,'سال 1396'!B50,'سال 1397'!B50,'سال 1398'!B50,'سال 1399'!B50,'سال 1400'!B50,'سال 1401'!B50,'سال 1402'!B50,'سال 1403'!B50)</ns0:f>
        <ns0:v>-0.1035439957042052</ns0:v>
      </ns0:c>
      <ns0:c r="C158" s="78">
        <ns0:f>MAX('سال 1392'!C50,'سال 1393'!C50,'سال 1394'!C50,'سال 1395'!C50,'سال 1396'!C50,'سال 1397'!C50,'سال 1398'!C50,'سال 1399'!C50,'سال 1400'!C50,'سال 1401'!C50,'سال 1402'!C50,'سال 1403'!C50)</ns0:f>
        <ns0:v>0.025924970526703547</ns0:v>
      </ns0:c>
      <ns0:c r="D158" s="78">
        <ns0:f>MAX('سال 1392'!D50,'سال 1393'!D50,'سال 1394'!D50,'سال 1395'!D50,'سال 1396'!D50,'سال 1397'!D50,'سال 1398'!D50,'سال 1399'!D50,'سال 1400'!D50,'سال 1401'!D50,'سال 1402'!D50,'سال 1403'!D50)</ns0:f>
        <ns0:v>-0.24698730046349823</ns0:v>
      </ns0:c>
      <ns0:c r="E158" s="78">
        <ns0:f>MAX('سال 1392'!E50,'سال 1393'!E50,'سال 1394'!E50,'سال 1395'!E50,'سال 1396'!E50,'سال 1397'!E50,'سال 1398'!E50,'سال 1399'!E50,'سال 1400'!E50,'سال 1401'!E50,'سال 1402'!E50,'سال 1403'!E50)</ns0:f>
        <ns0:v>0.23934480511833287</ns0:v>
      </ns0:c>
      <ns0:c r="F158" s="78">
        <ns0:f>MAX('سال 1392'!F50,'سال 1393'!F50,'سال 1394'!F50,'سال 1395'!F50,'سال 1396'!F50,'سال 1397'!F50,'سال 1398'!F50,'سال 1399'!F50,'سال 1400'!F50,'سال 1401'!F50,'سال 1402'!F50,'سال 1403'!F50)</ns0:f>
        <ns0:v>0.020141769484693664</ns0:v>
      </ns0:c>
      <ns0:c r="G158" s="78">
        <ns0:f>MAX('سال 1392'!G50,'سال 1393'!G50,'سال 1394'!G50,'سال 1395'!G50,'سال 1396'!G50,'سال 1397'!G50,'سال 1398'!G50,'سال 1399'!G50,'سال 1400'!G50,'سال 1401'!G50,'سال 1402'!G50,'سال 1403'!G50)</ns0:f>
        <ns0:v>-0.18417871564967622</ns0:v>
      </ns0:c>
      <ns0:c r="H158" s="78">
        <ns0:f>MAX('سال 1392'!H50,'سال 1393'!H50,'سال 1394'!H50,'سال 1395'!H50,'سال 1396'!H50,'سال 1397'!H50,'سال 1398'!H50,'سال 1399'!H50,'سال 1400'!H50,'سال 1401'!H50,'سال 1402'!H50,'سال 1403'!H50)</ns0:f>
        <ns0:v>-0.06677268720746043</ns0:v>
      </ns0:c>
      <ns0:c r="I158" s="78">
        <ns0:f>MAX('سال 1392'!I50,'سال 1393'!I50,'سال 1394'!I50,'سال 1395'!I50,'سال 1396'!I50,'سال 1397'!I50,'سال 1398'!I50,'سال 1399'!I50,'سال 1400'!I50,'سال 1401'!I50,'سال 1402'!I50,'سال 1403'!I50)</ns0:f>
        <ns0:v>-0.10263842441753383</ns0:v>
      </ns0:c>
      <ns0:c r="J158" s="77">
        <ns0:f>MAX('سال 1392'!J50,'سال 1393'!J50,'سال 1394'!J50,'سال 1395'!J50,'سال 1396'!J50,'سال 1397'!J50,'سال 1398'!J50,'سال 1399'!J50,'سال 1400'!J50,'سال 1401'!J50,'سال 1402'!J50,'سال 1403'!J50)</ns0:f>
        <ns0:v>-0.9401498830224417</ns0:v>
      </ns0:c>
      <ns0:c r="K158" s="78">
        <ns0:f>MAX('سال 1392'!K50,'سال 1393'!K50,'سال 1394'!K50,'سال 1395'!K50,'سال 1396'!K50,'سال 1397'!K50,'سال 1398'!K50,'سال 1399'!K50,'سال 1400'!K50,'سال 1401'!K50,'سال 1402'!K50,'سال 1403'!K50)</ns0:f>
        <ns0:v>-0.07085538496901869</ns0:v>
      </ns0:c>
      <ns0:c r="L158" s="78">
        <ns0:f>MAX('سال 1392'!L50,'سال 1393'!L50,'سال 1394'!L50,'سال 1395'!L50,'سال 1396'!L50,'سال 1397'!L50,'سال 1398'!L50,'سال 1399'!L50,'سال 1400'!L50,'سال 1401'!L50,'سال 1402'!L50,'سال 1403'!L50)</ns0:f>
        <ns0:v>-0.13816899849731665</ns0:v>
      </ns0:c>
      <ns0:c r="M158" s="78">
        <ns0:f>MAX('سال 1392'!M50,'سال 1393'!M50,'سال 1394'!M50,'سال 1395'!M50,'سال 1396'!M50,'سال 1397'!M50,'سال 1398'!M50,'سال 1399'!M50,'سال 1400'!M50,'سال 1401'!M50,'سال 1402'!M50,'سال 1403'!M50)</ns0:f>
        <ns0:v>0.11495898054200472</ns0:v>
      </ns0:c>
    </ns0:row>
    <ns0:row r="159" ht="30" customHeight="1">
      <ns0:c r="A159" s="73" t="inlineStr">
        <ns0:is>
          <ns0:t>قند، شیرینی و تنقلات</ns0:t>
        </ns0:is>
      </ns0:c>
      <ns0:c r="B159" s="78">
        <ns0:f>MAX('سال 1392'!B51,'سال 1393'!B51,'سال 1394'!B51,'سال 1395'!B51,'سال 1396'!B51,'سال 1397'!B51,'سال 1398'!B51,'سال 1399'!B51,'سال 1400'!B51,'سال 1401'!B51,'سال 1402'!B51,'سال 1403'!B51)</ns0:f>
        <ns0:v>-0.09803330485875644</ns0:v>
      </ns0:c>
      <ns0:c r="C159" s="78">
        <ns0:f>MAX('سال 1392'!C51,'سال 1393'!C51,'سال 1394'!C51,'سال 1395'!C51,'سال 1396'!C51,'سال 1397'!C51,'سال 1398'!C51,'سال 1399'!C51,'سال 1400'!C51,'سال 1401'!C51,'سال 1402'!C51,'سال 1403'!C51)</ns0:f>
        <ns0:v>-0.04793698147158508</ns0:v>
      </ns0:c>
      <ns0:c r="D159" s="78">
        <ns0:f>MAX('سال 1392'!D51,'سال 1393'!D51,'سال 1394'!D51,'سال 1395'!D51,'سال 1396'!D51,'سال 1397'!D51,'سال 1398'!D51,'سال 1399'!D51,'سال 1400'!D51,'سال 1401'!D51,'سال 1402'!D51,'سال 1403'!D51)</ns0:f>
        <ns0:v>0.022059328134458444</ns0:v>
      </ns0:c>
      <ns0:c r="E159" s="78">
        <ns0:f>MAX('سال 1392'!E51,'سال 1393'!E51,'سال 1394'!E51,'سال 1395'!E51,'سال 1396'!E51,'سال 1397'!E51,'سال 1398'!E51,'سال 1399'!E51,'سال 1400'!E51,'سال 1401'!E51,'سال 1402'!E51,'سال 1403'!E51)</ns0:f>
        <ns0:v>-0.10108156800496693</ns0:v>
      </ns0:c>
      <ns0:c r="F159" s="78">
        <ns0:f>MAX('سال 1392'!F51,'سال 1393'!F51,'سال 1394'!F51,'سال 1395'!F51,'سال 1396'!F51,'سال 1397'!F51,'سال 1398'!F51,'سال 1399'!F51,'سال 1400'!F51,'سال 1401'!F51,'سال 1402'!F51,'سال 1403'!F51)</ns0:f>
        <ns0:v>-0.0016381824277564641</ns0:v>
      </ns0:c>
      <ns0:c r="G159" s="78">
        <ns0:f>MAX('سال 1392'!G51,'سال 1393'!G51,'سال 1394'!G51,'سال 1395'!G51,'سال 1396'!G51,'سال 1397'!G51,'سال 1398'!G51,'سال 1399'!G51,'سال 1400'!G51,'سال 1401'!G51,'سال 1402'!G51,'سال 1403'!G51)</ns0:f>
        <ns0:v>0.05937634499517425</ns0:v>
      </ns0:c>
      <ns0:c r="H159" s="78">
        <ns0:f>MAX('سال 1392'!H51,'سال 1393'!H51,'سال 1394'!H51,'سال 1395'!H51,'سال 1396'!H51,'سال 1397'!H51,'سال 1398'!H51,'سال 1399'!H51,'سال 1400'!H51,'سال 1401'!H51,'سال 1402'!H51,'سال 1403'!H51)</ns0:f>
        <ns0:v>-0.09804309431474945</ns0:v>
      </ns0:c>
      <ns0:c r="I159" s="78">
        <ns0:f>MAX('سال 1392'!I51,'سال 1393'!I51,'سال 1394'!I51,'سال 1395'!I51,'سال 1396'!I51,'سال 1397'!I51,'سال 1398'!I51,'سال 1399'!I51,'سال 1400'!I51,'سال 1401'!I51,'سال 1402'!I51,'سال 1403'!I51)</ns0:f>
        <ns0:v>-0.03446048062771991</ns0:v>
      </ns0:c>
      <ns0:c r="J159" s="78">
        <ns0:f>MAX('سال 1392'!J51,'سال 1393'!J51,'سال 1394'!J51,'سال 1395'!J51,'سال 1396'!J51,'سال 1397'!J51,'سال 1398'!J51,'سال 1399'!J51,'سال 1400'!J51,'سال 1401'!J51,'سال 1402'!J51,'سال 1403'!J51)</ns0:f>
        <ns0:v>-0.029686783576575244</ns0:v>
      </ns0:c>
      <ns0:c r="K159" s="77">
        <ns0:f>MAX('سال 1392'!K51,'سال 1393'!K51,'سال 1394'!K51,'سال 1395'!K51,'سال 1396'!K51,'سال 1397'!K51,'سال 1398'!K51,'سال 1399'!K51,'سال 1400'!K51,'سال 1401'!K51,'سال 1402'!K51,'سال 1403'!K51)</ns0:f>
        <ns0:v>-0.47907033948749955</ns0:v>
      </ns0:c>
      <ns0:c r="L159" s="78">
        <ns0:f>MAX('سال 1392'!L51,'سال 1393'!L51,'سال 1394'!L51,'سال 1395'!L51,'سال 1396'!L51,'سال 1397'!L51,'سال 1398'!L51,'سال 1399'!L51,'سال 1400'!L51,'سال 1401'!L51,'سال 1402'!L51,'سال 1403'!L51)</ns0:f>
        <ns0:v>-0.05299951713121275</ns0:v>
      </ns0:c>
      <ns0:c r="M159" s="78">
        <ns0:f>MAX('سال 1392'!M51,'سال 1393'!M51,'سال 1394'!M51,'سال 1395'!M51,'سال 1396'!M51,'سال 1397'!M51,'سال 1398'!M51,'سال 1399'!M51,'سال 1400'!M51,'سال 1401'!M51,'سال 1402'!M51,'سال 1403'!M51)</ns0:f>
        <ns0:v>-0.0019103440832666022</ns0:v>
      </ns0:c>
    </ns0:row>
    <ns0:row r="160" ht="30" customHeight="1">
      <ns0:c r="A160" s="73" t="inlineStr">
        <ns0:is>
          <ns0:t>نوشیدنی بدون نوشابه</ns0:t>
        </ns0:is>
      </ns0:c>
      <ns0:c r="B160" s="78">
        <ns0:f>MAX('سال 1392'!B52,'سال 1393'!B52,'سال 1394'!B52,'سال 1395'!B52,'سال 1396'!B52,'سال 1397'!B52,'سال 1398'!B52,'سال 1399'!B52,'سال 1400'!B52,'سال 1401'!B52,'سال 1402'!B52,'سال 1403'!B52)</ns0:f>
        <ns0:v>-0.243063031742671</ns0:v>
      </ns0:c>
      <ns0:c r="C160" s="78">
        <ns0:f>MAX('سال 1392'!C52,'سال 1393'!C52,'سال 1394'!C52,'سال 1395'!C52,'سال 1396'!C52,'سال 1397'!C52,'سال 1398'!C52,'سال 1399'!C52,'سال 1400'!C52,'سال 1401'!C52,'سال 1402'!C52,'سال 1403'!C52)</ns0:f>
        <ns0:v>0.1763500061742321</ns0:v>
      </ns0:c>
      <ns0:c r="D160" s="78">
        <ns0:f>MAX('سال 1392'!D52,'سال 1393'!D52,'سال 1394'!D52,'سال 1395'!D52,'سال 1396'!D52,'سال 1397'!D52,'سال 1398'!D52,'سال 1399'!D52,'سال 1400'!D52,'سال 1401'!D52,'سال 1402'!D52,'سال 1403'!D52)</ns0:f>
        <ns0:v>-0.09470868417116399</ns0:v>
      </ns0:c>
      <ns0:c r="E160" s="78">
        <ns0:f>MAX('سال 1392'!E52,'سال 1393'!E52,'سال 1394'!E52,'سال 1395'!E52,'سال 1396'!E52,'سال 1397'!E52,'سال 1398'!E52,'سال 1399'!E52,'سال 1400'!E52,'سال 1401'!E52,'سال 1402'!E52,'سال 1403'!E52)</ns0:f>
        <ns0:v>0.27578126250402146</ns0:v>
      </ns0:c>
      <ns0:c r="F160" s="78">
        <ns0:f>MAX('سال 1392'!F52,'سال 1393'!F52,'سال 1394'!F52,'سال 1395'!F52,'سال 1396'!F52,'سال 1397'!F52,'سال 1398'!F52,'سال 1399'!F52,'سال 1400'!F52,'سال 1401'!F52,'سال 1402'!F52,'سال 1403'!F52)</ns0:f>
        <ns0:v>-0.09918532307258258</ns0:v>
      </ns0:c>
      <ns0:c r="G160" s="78">
        <ns0:f>MAX('سال 1392'!G52,'سال 1393'!G52,'سال 1394'!G52,'سال 1395'!G52,'سال 1396'!G52,'سال 1397'!G52,'سال 1398'!G52,'سال 1399'!G52,'سال 1400'!G52,'سال 1401'!G52,'سال 1402'!G52,'سال 1403'!G52)</ns0:f>
        <ns0:v>-0.02981017276168617</ns0:v>
      </ns0:c>
      <ns0:c r="H160" s="78">
        <ns0:f>MAX('سال 1392'!H52,'سال 1393'!H52,'سال 1394'!H52,'سال 1395'!H52,'سال 1396'!H52,'سال 1397'!H52,'سال 1398'!H52,'سال 1399'!H52,'سال 1400'!H52,'سال 1401'!H52,'سال 1402'!H52,'سال 1403'!H52)</ns0:f>
        <ns0:v>0.15366027514433728</ns0:v>
      </ns0:c>
      <ns0:c r="I160" s="78">
        <ns0:f>MAX('سال 1392'!I52,'سال 1393'!I52,'سال 1394'!I52,'سال 1395'!I52,'سال 1396'!I52,'سال 1397'!I52,'سال 1398'!I52,'سال 1399'!I52,'سال 1400'!I52,'سال 1401'!I52,'سال 1402'!I52,'سال 1403'!I52)</ns0:f>
        <ns0:v>0.07367844429599077</ns0:v>
      </ns0:c>
      <ns0:c r="J160" s="78">
        <ns0:f>MAX('سال 1392'!J52,'سال 1393'!J52,'سال 1394'!J52,'سال 1395'!J52,'سال 1396'!J52,'سال 1397'!J52,'سال 1398'!J52,'سال 1399'!J52,'سال 1400'!J52,'سال 1401'!J52,'سال 1402'!J52,'سال 1403'!J52)</ns0:f>
        <ns0:v>-0.10293182064592446</ns0:v>
      </ns0:c>
      <ns0:c r="K160" s="78">
        <ns0:f>MAX('سال 1392'!K52,'سال 1393'!K52,'سال 1394'!K52,'سال 1395'!K52,'سال 1396'!K52,'سال 1397'!K52,'سال 1398'!K52,'سال 1399'!K52,'سال 1400'!K52,'سال 1401'!K52,'سال 1402'!K52,'سال 1403'!K52)</ns0:f>
        <ns0:v>-0.18272469593601115</ns0:v>
      </ns0:c>
      <ns0:c r="L160" s="77">
        <ns0:f>MAX('سال 1392'!L52,'سال 1393'!L52,'سال 1394'!L52,'سال 1395'!L52,'سال 1396'!L52,'سال 1397'!L52,'سال 1398'!L52,'سال 1399'!L52,'سال 1400'!L52,'سال 1401'!L52,'سال 1402'!L52,'سال 1403'!L52)</ns0:f>
        <ns0:v>-0.8189816619635983</ns0:v>
      </ns0:c>
      <ns0:c r="M160" s="78">
        <ns0:f>MAX('سال 1392'!M52,'سال 1393'!M52,'سال 1394'!M52,'سال 1395'!M52,'سال 1396'!M52,'سال 1397'!M52,'سال 1398'!M52,'سال 1399'!M52,'سال 1400'!M52,'سال 1401'!M52,'سال 1402'!M52,'سال 1403'!M52)</ns0:f>
        <ns0:v>0.08674968586250584</ns0:v>
      </ns0:c>
    </ns0:row>
    <ns0:row r="161" ht="30" customHeight="1">
      <ns0:c r="A161" s="73" t="inlineStr">
        <ns0:is>
          <ns0:t>ادویه و چاشنی</ns0:t>
        </ns0:is>
      </ns0:c>
      <ns0:c r="B161" s="78">
        <ns0:f>MAX('سال 1392'!B53,'سال 1393'!B53,'سال 1394'!B53,'سال 1395'!B53,'سال 1396'!B53,'سال 1397'!B53,'سال 1398'!B53,'سال 1399'!B53,'سال 1400'!B53,'سال 1401'!B53,'سال 1402'!B53,'سال 1403'!B53)</ns0:f>
        <ns0:v>0.2658435679095863</ns0:v>
      </ns0:c>
      <ns0:c r="C161" s="78">
        <ns0:f>MAX('سال 1392'!C53,'سال 1393'!C53,'سال 1394'!C53,'سال 1395'!C53,'سال 1396'!C53,'سال 1397'!C53,'سال 1398'!C53,'سال 1399'!C53,'سال 1400'!C53,'سال 1401'!C53,'سال 1402'!C53,'سال 1403'!C53)</ns0:f>
        <ns0:v>-0.09882110132532955</ns0:v>
      </ns0:c>
      <ns0:c r="D161" s="78">
        <ns0:f>MAX('سال 1392'!D53,'سال 1393'!D53,'سال 1394'!D53,'سال 1395'!D53,'سال 1396'!D53,'سال 1397'!D53,'سال 1398'!D53,'سال 1399'!D53,'سال 1400'!D53,'سال 1401'!D53,'سال 1402'!D53,'سال 1403'!D53)</ns0:f>
        <ns0:v>-0.1277658191022895</ns0:v>
      </ns0:c>
      <ns0:c r="E161" s="78">
        <ns0:f>MAX('سال 1392'!E53,'سال 1393'!E53,'سال 1394'!E53,'سال 1395'!E53,'سال 1396'!E53,'سال 1397'!E53,'سال 1398'!E53,'سال 1399'!E53,'سال 1400'!E53,'سال 1401'!E53,'سال 1402'!E53,'سال 1403'!E53)</ns0:f>
        <ns0:v>-0.2729137256056788</ns0:v>
      </ns0:c>
      <ns0:c r="F161" s="78">
        <ns0:f>MAX('سال 1392'!F53,'سال 1393'!F53,'سال 1394'!F53,'سال 1395'!F53,'سال 1396'!F53,'سال 1397'!F53,'سال 1398'!F53,'سال 1399'!F53,'سال 1400'!F53,'سال 1401'!F53,'سال 1402'!F53,'سال 1403'!F53)</ns0:f>
        <ns0:v>-0.041993896314221874</ns0:v>
      </ns0:c>
      <ns0:c r="G161" s="78">
        <ns0:f>MAX('سال 1392'!G53,'سال 1393'!G53,'سال 1394'!G53,'سال 1395'!G53,'سال 1396'!G53,'سال 1397'!G53,'سال 1398'!G53,'سال 1399'!G53,'سال 1400'!G53,'سال 1401'!G53,'سال 1402'!G53,'سال 1403'!G53)</ns0:f>
        <ns0:v>0.07474846943172628</ns0:v>
      </ns0:c>
      <ns0:c r="H161" s="78">
        <ns0:f>MAX('سال 1392'!H53,'سال 1393'!H53,'سال 1394'!H53,'سال 1395'!H53,'سال 1396'!H53,'سال 1397'!H53,'سال 1398'!H53,'سال 1399'!H53,'سال 1400'!H53,'سال 1401'!H53,'سال 1402'!H53,'سال 1403'!H53)</ns0:f>
        <ns0:v>-0.08061949711076977</ns0:v>
      </ns0:c>
      <ns0:c r="I161" s="78">
        <ns0:f>MAX('سال 1392'!I53,'سال 1393'!I53,'سال 1394'!I53,'سال 1395'!I53,'سال 1396'!I53,'سال 1397'!I53,'سال 1398'!I53,'سال 1399'!I53,'سال 1400'!I53,'سال 1401'!I53,'سال 1402'!I53,'سال 1403'!I53)</ns0:f>
        <ns0:v>-0.025634126766066932</ns0:v>
      </ns0:c>
      <ns0:c r="J161" s="78">
        <ns0:f>MAX('سال 1392'!J53,'سال 1393'!J53,'سال 1394'!J53,'سال 1395'!J53,'سال 1396'!J53,'سال 1397'!J53,'سال 1398'!J53,'سال 1399'!J53,'سال 1400'!J53,'سال 1401'!J53,'سال 1402'!J53,'سال 1403'!J53)</ns0:f>
        <ns0:v>0.20852435421274013</ns0:v>
      </ns0:c>
      <ns0:c r="K161" s="78">
        <ns0:f>MAX('سال 1392'!K53,'سال 1393'!K53,'سال 1394'!K53,'سال 1395'!K53,'سال 1396'!K53,'سال 1397'!K53,'سال 1398'!K53,'سال 1399'!K53,'سال 1400'!K53,'سال 1401'!K53,'سال 1402'!K53,'سال 1403'!K53)</ns0:f>
        <ns0:v>-0.0268034221373556</ns0:v>
      </ns0:c>
      <ns0:c r="L161" s="78">
        <ns0:f>MAX('سال 1392'!L53,'سال 1393'!L53,'سال 1394'!L53,'سال 1395'!L53,'سال 1396'!L53,'سال 1397'!L53,'سال 1398'!L53,'سال 1399'!L53,'سال 1400'!L53,'سال 1401'!L53,'سال 1402'!L53,'سال 1403'!L53)</ns0:f>
        <ns0:v>0.034778718900541586</ns0:v>
      </ns0:c>
      <ns0:c r="M161" s="77">
        <ns0:f>MAX('سال 1392'!M53,'سال 1393'!M53,'سال 1394'!M53,'سال 1395'!M53,'سال 1396'!M53,'سال 1397'!M53,'سال 1398'!M53,'سال 1399'!M53,'سال 1400'!M53,'سال 1401'!M53,'سال 1402'!M53,'سال 1403'!M53)</ns0:f>
        <ns0:v>-0.3616464589135987</ns0:v>
      </ns0:c>
    </ns0:row>
    <ns0:row r="165" ht="28" customHeight="1">
      <ns0:c r="A165" s="76" t="inlineStr">
        <ns0:is>
          <ns0:t>سالانه • دامنه کشش مارشالی ۱۲×۱۲ | B2</ns0:t>
        </ns0:is>
      </ns0:c>
      <ns0:c r="B165" s="1" t="n"/>
      <ns0:c r="C165" s="1" t="n"/>
      <ns0:c r="D165" s="1" t="n"/>
      <ns0:c r="E165" s="1" t="n"/>
      <ns0:c r="F165" s="1" t="n"/>
      <ns0:c r="G165" s="1" t="n"/>
      <ns0:c r="H165" s="1" t="n"/>
      <ns0:c r="I165" s="1" t="n"/>
      <ns0:c r="J165" s="1" t="n"/>
      <ns0:c r="K165" s="1" t="n"/>
      <ns0:c r="L165" s="1" t="n"/>
      <ns0:c r="M165" s="1" t="n"/>
    </ns0:row>
    <ns0:row r="166" ht="58" customHeight="1">
      <ns0:c r="A166" s="72" t="inlineStr">
        <ns0:is>
          <ns0:t>گروه تقاضا ↓ / گروه قیمت →</ns0:t>
        </ns0:is>
      </ns0:c>
      <ns0:c r="B166" s="72" t="inlineStr">
        <ns0:is>
          <ns0:t>برنج</ns0:t>
        </ns0:is>
      </ns0:c>
      <ns0:c r="C166" s="72" t="inlineStr">
        <ns0:is>
          <ns0:t>نان و غلات</ns0:t>
        </ns0:is>
      </ns0:c>
      <ns0:c r="D166" s="72" t="inlineStr">
        <ns0:is>
          <ns0:t>گوشت</ns0:t>
        </ns0:is>
      </ns0:c>
      <ns0:c r="E166" s="72" t="inlineStr">
        <ns0:is>
          <ns0:t>لبنیات و تخم‌مرغ</ns0:t>
        </ns0:is>
      </ns0:c>
      <ns0:c r="F166" s="72" t="inlineStr">
        <ns0:is>
          <ns0:t>روغن و چربی</ns0:t>
        </ns0:is>
      </ns0:c>
      <ns0:c r="G166" s="72" t="inlineStr">
        <ns0:is>
          <ns0:t>میوه</ns0:t>
        </ns0:is>
      </ns0:c>
      <ns0:c r="H166" s="72" t="inlineStr">
        <ns0:is>
          <ns0:t>سبزیجات و سیب‌زمینی</ns0:t>
        </ns0:is>
      </ns0:c>
      <ns0:c r="I166" s="72" t="inlineStr">
        <ns0:is>
          <ns0:t>حبوبات</ns0:t>
        </ns0:is>
      </ns0:c>
      <ns0:c r="J166" s="72" t="inlineStr">
        <ns0:is>
          <ns0:t>مغزها، خشکبار و خرما</ns0:t>
        </ns0:is>
      </ns0:c>
      <ns0:c r="K166" s="72" t="inlineStr">
        <ns0:is>
          <ns0:t>قند، شیرینی و تنقلات</ns0:t>
        </ns0:is>
      </ns0:c>
      <ns0:c r="L166" s="72" t="inlineStr">
        <ns0:is>
          <ns0:t>نوشیدنی بدون نوشابه</ns0:t>
        </ns0:is>
      </ns0:c>
      <ns0:c r="M166" s="72" t="inlineStr">
        <ns0:is>
          <ns0:t>ادویه و چاشنی</ns0:t>
        </ns0:is>
      </ns0:c>
    </ns0:row>
    <ns0:row r="167" ht="30" customHeight="1">
      <ns0:c r="A167" s="73" t="inlineStr">
        <ns0:is>
          <ns0:t>برنج</ns0:t>
        </ns0:is>
      </ns0:c>
      <ns0:c r="B167" s="77">
        <ns0:f>MAX('سال 1392'!B42,'سال 1393'!B42,'سال 1394'!B42,'سال 1395'!B42,'سال 1396'!B42,'سال 1397'!B42,'سال 1398'!B42,'سال 1399'!B42,'سال 1400'!B42,'سال 1401'!B42,'سال 1402'!B42,'سال 1403'!B42)-MIN('سال 1392'!B42,'سال 1393'!B42,'سال 1394'!B42,'سال 1395'!B42,'سال 1396'!B42,'سال 1397'!B42,'سال 1398'!B42,'سال 1399'!B42,'سال 1400'!B42,'سال 1401'!B42,'سال 1402'!B42,'سال 1403'!B42)</ns0:f>
        <ns0:v>0.010380699292892537</ns0:v>
      </ns0:c>
      <ns0:c r="C167" s="78">
        <ns0:f>MAX('سال 1392'!C42,'سال 1393'!C42,'سال 1394'!C42,'سال 1395'!C42,'سال 1396'!C42,'سال 1397'!C42,'سال 1398'!C42,'سال 1399'!C42,'سال 1400'!C42,'سال 1401'!C42,'سال 1402'!C42,'سال 1403'!C42)-MIN('سال 1392'!C42,'سال 1393'!C42,'سال 1394'!C42,'سال 1395'!C42,'سال 1396'!C42,'سال 1397'!C42,'سال 1398'!C42,'سال 1399'!C42,'سال 1400'!C42,'سال 1401'!C42,'سال 1402'!C42,'سال 1403'!C42)</ns0:f>
        <ns0:v>0.0503524889180277</ns0:v>
      </ns0:c>
      <ns0:c r="D167" s="78">
        <ns0:f>MAX('سال 1392'!D42,'سال 1393'!D42,'سال 1394'!D42,'سال 1395'!D42,'سال 1396'!D42,'سال 1397'!D42,'سال 1398'!D42,'سال 1399'!D42,'سال 1400'!D42,'سال 1401'!D42,'سال 1402'!D42,'سال 1403'!D42)-MIN('سال 1392'!D42,'سال 1393'!D42,'سال 1394'!D42,'سال 1395'!D42,'سال 1396'!D42,'سال 1397'!D42,'سال 1398'!D42,'سال 1399'!D42,'سال 1400'!D42,'سال 1401'!D42,'سال 1402'!D42,'سال 1403'!D42)</ns0:f>
        <ns0:v>0.03671514728029415</ns0:v>
      </ns0:c>
      <ns0:c r="E167" s="78">
        <ns0:f>MAX('سال 1392'!E42,'سال 1393'!E42,'سال 1394'!E42,'سال 1395'!E42,'سال 1396'!E42,'سال 1397'!E42,'سال 1398'!E42,'سال 1399'!E42,'سال 1400'!E42,'سال 1401'!E42,'سال 1402'!E42,'سال 1403'!E42)-MIN('سال 1392'!E42,'سال 1393'!E42,'سال 1394'!E42,'سال 1395'!E42,'سال 1396'!E42,'سال 1397'!E42,'سال 1398'!E42,'سال 1399'!E42,'سال 1400'!E42,'سال 1401'!E42,'سال 1402'!E42,'سال 1403'!E42)</ns0:f>
        <ns0:v>0.015343875871620432</ns0:v>
      </ns0:c>
      <ns0:c r="F167" s="78">
        <ns0:f>MAX('سال 1392'!F42,'سال 1393'!F42,'سال 1394'!F42,'سال 1395'!F42,'سال 1396'!F42,'سال 1397'!F42,'سال 1398'!F42,'سال 1399'!F42,'سال 1400'!F42,'سال 1401'!F42,'سال 1402'!F42,'سال 1403'!F42)-MIN('سال 1392'!F42,'سال 1393'!F42,'سال 1394'!F42,'سال 1395'!F42,'سال 1396'!F42,'سال 1397'!F42,'سال 1398'!F42,'سال 1399'!F42,'سال 1400'!F42,'سال 1401'!F42,'سال 1402'!F42,'سال 1403'!F42)</ns0:f>
        <ns0:v>0.02295409565472434</ns0:v>
      </ns0:c>
      <ns0:c r="G167" s="78">
        <ns0:f>MAX('سال 1392'!G42,'سال 1393'!G42,'سال 1394'!G42,'سال 1395'!G42,'سال 1396'!G42,'سال 1397'!G42,'سال 1398'!G42,'سال 1399'!G42,'سال 1400'!G42,'سال 1401'!G42,'سال 1402'!G42,'سال 1403'!G42)-MIN('سال 1392'!G42,'سال 1393'!G42,'سال 1394'!G42,'سال 1395'!G42,'سال 1396'!G42,'سال 1397'!G42,'سال 1398'!G42,'سال 1399'!G42,'سال 1400'!G42,'سال 1401'!G42,'سال 1402'!G42,'سال 1403'!G42)</ns0:f>
        <ns0:v>0.010840518873009714</ns0:v>
      </ns0:c>
      <ns0:c r="H167" s="78">
        <ns0:f>MAX('سال 1392'!H42,'سال 1393'!H42,'سال 1394'!H42,'سال 1395'!H42,'سال 1396'!H42,'سال 1397'!H42,'سال 1398'!H42,'سال 1399'!H42,'سال 1400'!H42,'سال 1401'!H42,'سال 1402'!H42,'سال 1403'!H42)-MIN('سال 1392'!H42,'سال 1393'!H42,'سال 1394'!H42,'سال 1395'!H42,'سال 1396'!H42,'سال 1397'!H42,'سال 1398'!H42,'سال 1399'!H42,'سال 1400'!H42,'سال 1401'!H42,'سال 1402'!H42,'سال 1403'!H42)</ns0:f>
        <ns0:v>0.021689276867065857</ns0:v>
      </ns0:c>
      <ns0:c r="I167" s="78">
        <ns0:f>MAX('سال 1392'!I42,'سال 1393'!I42,'سال 1394'!I42,'سال 1395'!I42,'سال 1396'!I42,'سال 1397'!I42,'سال 1398'!I42,'سال 1399'!I42,'سال 1400'!I42,'سال 1401'!I42,'سال 1402'!I42,'سال 1403'!I42)-MIN('سال 1392'!I42,'سال 1393'!I42,'سال 1394'!I42,'سال 1395'!I42,'سال 1396'!I42,'سال 1397'!I42,'سال 1398'!I42,'سال 1399'!I42,'سال 1400'!I42,'سال 1401'!I42,'سال 1402'!I42,'سال 1403'!I42)</ns0:f>
        <ns0:v>0.012947544507780451</ns0:v>
      </ns0:c>
      <ns0:c r="J167" s="78">
        <ns0:f>MAX('سال 1392'!J42,'سال 1393'!J42,'سال 1394'!J42,'سال 1395'!J42,'سال 1396'!J42,'سال 1397'!J42,'سال 1398'!J42,'سال 1399'!J42,'سال 1400'!J42,'سال 1401'!J42,'سال 1402'!J42,'سال 1403'!J42)-MIN('سال 1392'!J42,'سال 1393'!J42,'سال 1394'!J42,'سال 1395'!J42,'سال 1396'!J42,'سال 1397'!J42,'سال 1398'!J42,'سال 1399'!J42,'سال 1400'!J42,'سال 1401'!J42,'سال 1402'!J42,'سال 1403'!J42)</ns0:f>
        <ns0:v>0.014159195568431081</ns0:v>
      </ns0:c>
      <ns0:c r="K167" s="78">
        <ns0:f>MAX('سال 1392'!K42,'سال 1393'!K42,'سال 1394'!K42,'سال 1395'!K42,'سال 1396'!K42,'سال 1397'!K42,'سال 1398'!K42,'سال 1399'!K42,'سال 1400'!K42,'سال 1401'!K42,'سال 1402'!K42,'سال 1403'!K42)-MIN('سال 1392'!K42,'سال 1393'!K42,'سال 1394'!K42,'سال 1395'!K42,'سال 1396'!K42,'سال 1397'!K42,'سال 1398'!K42,'سال 1399'!K42,'سال 1400'!K42,'سال 1401'!K42,'سال 1402'!K42,'سال 1403'!K42)</ns0:f>
        <ns0:v>0.014524817585942346</ns0:v>
      </ns0:c>
      <ns0:c r="L167" s="78">
        <ns0:f>MAX('سال 1392'!L42,'سال 1393'!L42,'سال 1394'!L42,'سال 1395'!L42,'سال 1396'!L42,'سال 1397'!L42,'سال 1398'!L42,'سال 1399'!L42,'سال 1400'!L42,'سال 1401'!L42,'سال 1402'!L42,'سال 1403'!L42)-MIN('سال 1392'!L42,'سال 1393'!L42,'سال 1394'!L42,'سال 1395'!L42,'سال 1396'!L42,'سال 1397'!L42,'سال 1398'!L42,'سال 1399'!L42,'سال 1400'!L42,'سال 1401'!L42,'سال 1402'!L42,'سال 1403'!L42)</ns0:f>
        <ns0:v>0.012498700283198536</ns0:v>
      </ns0:c>
      <ns0:c r="M167" s="78">
        <ns0:f>MAX('سال 1392'!M42,'سال 1393'!M42,'سال 1394'!M42,'سال 1395'!M42,'سال 1396'!M42,'سال 1397'!M42,'سال 1398'!M42,'سال 1399'!M42,'سال 1400'!M42,'سال 1401'!M42,'سال 1402'!M42,'سال 1403'!M42)-MIN('سال 1392'!M42,'سال 1393'!M42,'سال 1394'!M42,'سال 1395'!M42,'سال 1396'!M42,'سال 1397'!M42,'سال 1398'!M42,'سال 1399'!M42,'سال 1400'!M42,'سال 1401'!M42,'سال 1402'!M42,'سال 1403'!M42)</ns0:f>
        <ns0:v>0.010444056480922254</ns0:v>
      </ns0:c>
    </ns0:row>
    <ns0:row r="168" ht="30" customHeight="1">
      <ns0:c r="A168" s="73" t="inlineStr">
        <ns0:is>
          <ns0:t>نان و غلات</ns0:t>
        </ns0:is>
      </ns0:c>
      <ns0:c r="B168" s="78">
        <ns0:f>MAX('سال 1392'!B43,'سال 1393'!B43,'سال 1394'!B43,'سال 1395'!B43,'سال 1396'!B43,'سال 1397'!B43,'سال 1398'!B43,'سال 1399'!B43,'سال 1400'!B43,'سال 1401'!B43,'سال 1402'!B43,'سال 1403'!B43)-MIN('سال 1392'!B43,'سال 1393'!B43,'سال 1394'!B43,'سال 1395'!B43,'سال 1396'!B43,'سال 1397'!B43,'سال 1398'!B43,'سال 1399'!B43,'سال 1400'!B43,'سال 1401'!B43,'سال 1402'!B43,'سال 1403'!B43)</ns0:f>
        <ns0:v>0.12856025527411702</ns0:v>
      </ns0:c>
      <ns0:c r="C168" s="77">
        <ns0:f>MAX('سال 1392'!C43,'سال 1393'!C43,'سال 1394'!C43,'سال 1395'!C43,'سال 1396'!C43,'سال 1397'!C43,'سال 1398'!C43,'سال 1399'!C43,'سال 1400'!C43,'سال 1401'!C43,'سال 1402'!C43,'سال 1403'!C43)-MIN('سال 1392'!C43,'سال 1393'!C43,'سال 1394'!C43,'سال 1395'!C43,'سال 1396'!C43,'سال 1397'!C43,'سال 1398'!C43,'سال 1399'!C43,'سال 1400'!C43,'سال 1401'!C43,'سال 1402'!C43,'سال 1403'!C43)</ns0:f>
        <ns0:v>0.35038209004949705</ns0:v>
      </ns0:c>
      <ns0:c r="D168" s="78">
        <ns0:f>MAX('سال 1392'!D43,'سال 1393'!D43,'سال 1394'!D43,'سال 1395'!D43,'سال 1396'!D43,'سال 1397'!D43,'سال 1398'!D43,'سال 1399'!D43,'سال 1400'!D43,'سال 1401'!D43,'سال 1402'!D43,'سال 1403'!D43)-MIN('سال 1392'!D43,'سال 1393'!D43,'سال 1394'!D43,'سال 1395'!D43,'سال 1396'!D43,'سال 1397'!D43,'سال 1398'!D43,'سال 1399'!D43,'سال 1400'!D43,'سال 1401'!D43,'سال 1402'!D43,'سال 1403'!D43)</ns0:f>
        <ns0:v>0.3799941325688134</ns0:v>
      </ns0:c>
      <ns0:c r="E168" s="78">
        <ns0:f>MAX('سال 1392'!E43,'سال 1393'!E43,'سال 1394'!E43,'سال 1395'!E43,'سال 1396'!E43,'سال 1397'!E43,'سال 1398'!E43,'سال 1399'!E43,'سال 1400'!E43,'سال 1401'!E43,'سال 1402'!E43,'سال 1403'!E43)-MIN('سال 1392'!E43,'سال 1393'!E43,'سال 1394'!E43,'سال 1395'!E43,'سال 1396'!E43,'سال 1397'!E43,'سال 1398'!E43,'سال 1399'!E43,'سال 1400'!E43,'سال 1401'!E43,'سال 1402'!E43,'سال 1403'!E43)</ns0:f>
        <ns0:v>0.09579576260607942</ns0:v>
      </ns0:c>
      <ns0:c r="F168" s="78">
        <ns0:f>MAX('سال 1392'!F43,'سال 1393'!F43,'سال 1394'!F43,'سال 1395'!F43,'سال 1396'!F43,'سال 1397'!F43,'سال 1398'!F43,'سال 1399'!F43,'سال 1400'!F43,'سال 1401'!F43,'سال 1402'!F43,'سال 1403'!F43)-MIN('سال 1392'!F43,'سال 1393'!F43,'سال 1394'!F43,'سال 1395'!F43,'سال 1396'!F43,'سال 1397'!F43,'سال 1398'!F43,'سال 1399'!F43,'سال 1400'!F43,'سال 1401'!F43,'سال 1402'!F43,'سال 1403'!F43)</ns0:f>
        <ns0:v>0.04258616243487553</ns0:v>
      </ns0:c>
      <ns0:c r="G168" s="78">
        <ns0:f>MAX('سال 1392'!G43,'سال 1393'!G43,'سال 1394'!G43,'سال 1395'!G43,'سال 1396'!G43,'سال 1397'!G43,'سال 1398'!G43,'سال 1399'!G43,'سال 1400'!G43,'سال 1401'!G43,'سال 1402'!G43,'سال 1403'!G43)-MIN('سال 1392'!G43,'سال 1393'!G43,'سال 1394'!G43,'سال 1395'!G43,'سال 1396'!G43,'سال 1397'!G43,'سال 1398'!G43,'سال 1399'!G43,'سال 1400'!G43,'سال 1401'!G43,'سال 1402'!G43,'سال 1403'!G43)</ns0:f>
        <ns0:v>0.05338357371385796</ns0:v>
      </ns0:c>
      <ns0:c r="H168" s="78">
        <ns0:f>MAX('سال 1392'!H43,'سال 1393'!H43,'سال 1394'!H43,'سال 1395'!H43,'سال 1396'!H43,'سال 1397'!H43,'سال 1398'!H43,'سال 1399'!H43,'سال 1400'!H43,'سال 1401'!H43,'سال 1402'!H43,'سال 1403'!H43)-MIN('سال 1392'!H43,'سال 1393'!H43,'سال 1394'!H43,'سال 1395'!H43,'سال 1396'!H43,'سال 1397'!H43,'سال 1398'!H43,'سال 1399'!H43,'سال 1400'!H43,'سال 1401'!H43,'سال 1402'!H43,'سال 1403'!H43)</ns0:f>
        <ns0:v>0.03493920864762079</ns0:v>
      </ns0:c>
      <ns0:c r="I168" s="78">
        <ns0:f>MAX('سال 1392'!I43,'سال 1393'!I43,'سال 1394'!I43,'سال 1395'!I43,'سال 1396'!I43,'سال 1397'!I43,'سال 1398'!I43,'سال 1399'!I43,'سال 1400'!I43,'سال 1401'!I43,'سال 1402'!I43,'سال 1403'!I43)-MIN('سال 1392'!I43,'سال 1393'!I43,'سال 1394'!I43,'سال 1395'!I43,'سال 1396'!I43,'سال 1397'!I43,'سال 1398'!I43,'سال 1399'!I43,'سال 1400'!I43,'سال 1401'!I43,'سال 1402'!I43,'سال 1403'!I43)</ns0:f>
        <ns0:v>0.06544915522422741</ns0:v>
      </ns0:c>
      <ns0:c r="J168" s="78">
        <ns0:f>MAX('سال 1392'!J43,'سال 1393'!J43,'سال 1394'!J43,'سال 1395'!J43,'سال 1396'!J43,'سال 1397'!J43,'سال 1398'!J43,'سال 1399'!J43,'سال 1400'!J43,'سال 1401'!J43,'سال 1402'!J43,'سال 1403'!J43)-MIN('سال 1392'!J43,'سال 1393'!J43,'سال 1394'!J43,'سال 1395'!J43,'سال 1396'!J43,'سال 1397'!J43,'سال 1398'!J43,'سال 1399'!J43,'سال 1400'!J43,'سال 1401'!J43,'سال 1402'!J43,'سال 1403'!J43)</ns0:f>
        <ns0:v>0.028380209269783872</ns0:v>
      </ns0:c>
      <ns0:c r="K168" s="78">
        <ns0:f>MAX('سال 1392'!K43,'سال 1393'!K43,'سال 1394'!K43,'سال 1395'!K43,'سال 1396'!K43,'سال 1397'!K43,'سال 1398'!K43,'سال 1399'!K43,'سال 1400'!K43,'سال 1401'!K43,'سال 1402'!K43,'سال 1403'!K43)-MIN('سال 1392'!K43,'سال 1393'!K43,'سال 1394'!K43,'سال 1395'!K43,'سال 1396'!K43,'سال 1397'!K43,'سال 1398'!K43,'سال 1399'!K43,'سال 1400'!K43,'سال 1401'!K43,'سال 1402'!K43,'سال 1403'!K43)</ns0:f>
        <ns0:v>0.012316273914799896</ns0:v>
      </ns0:c>
      <ns0:c r="L168" s="78">
        <ns0:f>MAX('سال 1392'!L43,'سال 1393'!L43,'سال 1394'!L43,'سال 1395'!L43,'سال 1396'!L43,'سال 1397'!L43,'سال 1398'!L43,'سال 1399'!L43,'سال 1400'!L43,'سال 1401'!L43,'سال 1402'!L43,'سال 1403'!L43)-MIN('سال 1392'!L43,'سال 1393'!L43,'سال 1394'!L43,'سال 1395'!L43,'سال 1396'!L43,'سال 1397'!L43,'سال 1398'!L43,'سال 1399'!L43,'سال 1400'!L43,'سال 1401'!L43,'سال 1402'!L43,'سال 1403'!L43)</ns0:f>
        <ns0:v>0.12430846036266323</ns0:v>
      </ns0:c>
      <ns0:c r="M168" s="78">
        <ns0:f>MAX('سال 1392'!M43,'سال 1393'!M43,'سال 1394'!M43,'سال 1395'!M43,'سال 1396'!M43,'سال 1397'!M43,'سال 1398'!M43,'سال 1399'!M43,'سال 1400'!M43,'سال 1401'!M43,'سال 1402'!M43,'سال 1403'!M43)-MIN('سال 1392'!M43,'سال 1393'!M43,'سال 1394'!M43,'سال 1395'!M43,'سال 1396'!M43,'سال 1397'!M43,'سال 1398'!M43,'سال 1399'!M43,'سال 1400'!M43,'سال 1401'!M43,'سال 1402'!M43,'سال 1403'!M43)</ns0:f>
        <ns0:v>0.032252804283350554</ns0:v>
      </ns0:c>
    </ns0:row>
    <ns0:row r="169" ht="30" customHeight="1">
      <ns0:c r="A169" s="73" t="inlineStr">
        <ns0:is>
          <ns0:t>گوشت</ns0:t>
        </ns0:is>
      </ns0:c>
      <ns0:c r="B169" s="78">
        <ns0:f>MAX('سال 1392'!B44,'سال 1393'!B44,'سال 1394'!B44,'سال 1395'!B44,'سال 1396'!B44,'سال 1397'!B44,'سال 1398'!B44,'سال 1399'!B44,'سال 1400'!B44,'سال 1401'!B44,'سال 1402'!B44,'سال 1403'!B44)-MIN('سال 1392'!B44,'سال 1393'!B44,'سال 1394'!B44,'سال 1395'!B44,'سال 1396'!B44,'سال 1397'!B44,'سال 1398'!B44,'سال 1399'!B44,'سال 1400'!B44,'سال 1401'!B44,'سال 1402'!B44,'سال 1403'!B44)</ns0:f>
        <ns0:v>0.0046537272196422955</ns0:v>
      </ns0:c>
      <ns0:c r="C169" s="78">
        <ns0:f>MAX('سال 1392'!C44,'سال 1393'!C44,'سال 1394'!C44,'سال 1395'!C44,'سال 1396'!C44,'سال 1397'!C44,'سال 1398'!C44,'سال 1399'!C44,'سال 1400'!C44,'سال 1401'!C44,'سال 1402'!C44,'سال 1403'!C44)-MIN('سال 1392'!C44,'سال 1393'!C44,'سال 1394'!C44,'سال 1395'!C44,'سال 1396'!C44,'سال 1397'!C44,'سال 1398'!C44,'سال 1399'!C44,'سال 1400'!C44,'سال 1401'!C44,'سال 1402'!C44,'سال 1403'!C44)</ns0:f>
        <ns0:v>0.00949135160809995</ns0:v>
      </ns0:c>
      <ns0:c r="D169" s="77">
        <ns0:f>MAX('سال 1392'!D44,'سال 1393'!D44,'سال 1394'!D44,'سال 1395'!D44,'سال 1396'!D44,'سال 1397'!D44,'سال 1398'!D44,'سال 1399'!D44,'سال 1400'!D44,'سال 1401'!D44,'سال 1402'!D44,'سال 1403'!D44)-MIN('سال 1392'!D44,'سال 1393'!D44,'سال 1394'!D44,'سال 1395'!D44,'سال 1396'!D44,'سال 1397'!D44,'سال 1398'!D44,'سال 1399'!D44,'سال 1400'!D44,'سال 1401'!D44,'سال 1402'!D44,'سال 1403'!D44)</ns0:f>
        <ns0:v>0.038197805524898265</ns0:v>
      </ns0:c>
      <ns0:c r="E169" s="78">
        <ns0:f>MAX('سال 1392'!E44,'سال 1393'!E44,'سال 1394'!E44,'سال 1395'!E44,'سال 1396'!E44,'سال 1397'!E44,'سال 1398'!E44,'سال 1399'!E44,'سال 1400'!E44,'سال 1401'!E44,'سال 1402'!E44,'سال 1403'!E44)-MIN('سال 1392'!E44,'سال 1393'!E44,'سال 1394'!E44,'سال 1395'!E44,'سال 1396'!E44,'سال 1397'!E44,'سال 1398'!E44,'سال 1399'!E44,'سال 1400'!E44,'سال 1401'!E44,'سال 1402'!E44,'سال 1403'!E44)</ns0:f>
        <ns0:v>0.010604956827924294</ns0:v>
      </ns0:c>
      <ns0:c r="F169" s="78">
        <ns0:f>MAX('سال 1392'!F44,'سال 1393'!F44,'سال 1394'!F44,'سال 1395'!F44,'سال 1396'!F44,'سال 1397'!F44,'سال 1398'!F44,'سال 1399'!F44,'سال 1400'!F44,'سال 1401'!F44,'سال 1402'!F44,'سال 1403'!F44)-MIN('سال 1392'!F44,'سال 1393'!F44,'سال 1394'!F44,'سال 1395'!F44,'سال 1396'!F44,'سال 1397'!F44,'سال 1398'!F44,'سال 1399'!F44,'سال 1400'!F44,'سال 1401'!F44,'سال 1402'!F44,'سال 1403'!F44)</ns0:f>
        <ns0:v>0.01967791171887101</ns0:v>
      </ns0:c>
      <ns0:c r="G169" s="78">
        <ns0:f>MAX('سال 1392'!G44,'سال 1393'!G44,'سال 1394'!G44,'سال 1395'!G44,'سال 1396'!G44,'سال 1397'!G44,'سال 1398'!G44,'سال 1399'!G44,'سال 1400'!G44,'سال 1401'!G44,'سال 1402'!G44,'سال 1403'!G44)-MIN('سال 1392'!G44,'سال 1393'!G44,'سال 1394'!G44,'سال 1395'!G44,'سال 1396'!G44,'سال 1397'!G44,'سال 1398'!G44,'سال 1399'!G44,'سال 1400'!G44,'سال 1401'!G44,'سال 1402'!G44,'سال 1403'!G44)</ns0:f>
        <ns0:v>0.002857366003214195</ns0:v>
      </ns0:c>
      <ns0:c r="H169" s="78">
        <ns0:f>MAX('سال 1392'!H44,'سال 1393'!H44,'سال 1394'!H44,'سال 1395'!H44,'سال 1396'!H44,'سال 1397'!H44,'سال 1398'!H44,'سال 1399'!H44,'سال 1400'!H44,'سال 1401'!H44,'سال 1402'!H44,'سال 1403'!H44)-MIN('سال 1392'!H44,'سال 1393'!H44,'سال 1394'!H44,'سال 1395'!H44,'سال 1396'!H44,'سال 1397'!H44,'سال 1398'!H44,'سال 1399'!H44,'سال 1400'!H44,'سال 1401'!H44,'سال 1402'!H44,'سال 1403'!H44)</ns0:f>
        <ns0:v>0.015527480320232781</ns0:v>
      </ns0:c>
      <ns0:c r="I169" s="78">
        <ns0:f>MAX('سال 1392'!I44,'سال 1393'!I44,'سال 1394'!I44,'سال 1395'!I44,'سال 1396'!I44,'سال 1397'!I44,'سال 1398'!I44,'سال 1399'!I44,'سال 1400'!I44,'سال 1401'!I44,'سال 1402'!I44,'سال 1403'!I44)-MIN('سال 1392'!I44,'سال 1393'!I44,'سال 1394'!I44,'سال 1395'!I44,'سال 1396'!I44,'سال 1397'!I44,'سال 1398'!I44,'سال 1399'!I44,'سال 1400'!I44,'سال 1401'!I44,'سال 1402'!I44,'سال 1403'!I44)</ns0:f>
        <ns0:v>0.0036109700343085437</ns0:v>
      </ns0:c>
      <ns0:c r="J169" s="78">
        <ns0:f>MAX('سال 1392'!J44,'سال 1393'!J44,'سال 1394'!J44,'سال 1395'!J44,'سال 1396'!J44,'سال 1397'!J44,'سال 1398'!J44,'سال 1399'!J44,'سال 1400'!J44,'سال 1401'!J44,'سال 1402'!J44,'سال 1403'!J44)-MIN('سال 1392'!J44,'سال 1393'!J44,'سال 1394'!J44,'سال 1395'!J44,'سال 1396'!J44,'سال 1397'!J44,'سال 1398'!J44,'سال 1399'!J44,'سال 1400'!J44,'سال 1401'!J44,'سال 1402'!J44,'سال 1403'!J44)</ns0:f>
        <ns0:v>0.013374299712244415</ns0:v>
      </ns0:c>
      <ns0:c r="K169" s="78">
        <ns0:f>MAX('سال 1392'!K44,'سال 1393'!K44,'سال 1394'!K44,'سال 1395'!K44,'سال 1396'!K44,'سال 1397'!K44,'سال 1398'!K44,'سال 1399'!K44,'سال 1400'!K44,'سال 1401'!K44,'سال 1402'!K44,'سال 1403'!K44)-MIN('سال 1392'!K44,'سال 1393'!K44,'سال 1394'!K44,'سال 1395'!K44,'سال 1396'!K44,'سال 1397'!K44,'سال 1398'!K44,'سال 1399'!K44,'سال 1400'!K44,'سال 1401'!K44,'سال 1402'!K44,'سال 1403'!K44)</ns0:f>
        <ns0:v>0.004931495253970615</ns0:v>
      </ns0:c>
      <ns0:c r="L169" s="78">
        <ns0:f>MAX('سال 1392'!L44,'سال 1393'!L44,'سال 1394'!L44,'سال 1395'!L44,'سال 1396'!L44,'سال 1397'!L44,'سال 1398'!L44,'سال 1399'!L44,'سال 1400'!L44,'سال 1401'!L44,'سال 1402'!L44,'سال 1403'!L44)-MIN('سال 1392'!L44,'سال 1393'!L44,'سال 1394'!L44,'سال 1395'!L44,'سال 1396'!L44,'سال 1397'!L44,'سال 1398'!L44,'سال 1399'!L44,'سال 1400'!L44,'سال 1401'!L44,'سال 1402'!L44,'سال 1403'!L44)</ns0:f>
        <ns0:v>0.008621141108347552</ns0:v>
      </ns0:c>
      <ns0:c r="M169" s="78">
        <ns0:f>MAX('سال 1392'!M44,'سال 1393'!M44,'سال 1394'!M44,'سال 1395'!M44,'سال 1396'!M44,'سال 1397'!M44,'سال 1398'!M44,'سال 1399'!M44,'سال 1400'!M44,'سال 1401'!M44,'سال 1402'!M44,'سال 1403'!M44)-MIN('سال 1392'!M44,'سال 1393'!M44,'سال 1394'!M44,'سال 1395'!M44,'سال 1396'!M44,'سال 1397'!M44,'سال 1398'!M44,'سال 1399'!M44,'سال 1400'!M44,'سال 1401'!M44,'سال 1402'!M44,'سال 1403'!M44)</ns0:f>
        <ns0:v>0.011323097400548932</ns0:v>
      </ns0:c>
    </ns0:row>
    <ns0:row r="170" ht="30" customHeight="1">
      <ns0:c r="A170" s="73" t="inlineStr">
        <ns0:is>
          <ns0:t>لبنیات و تخم‌مرغ</ns0:t>
        </ns0:is>
      </ns0:c>
      <ns0:c r="B170" s="78">
        <ns0:f>MAX('سال 1392'!B45,'سال 1393'!B45,'سال 1394'!B45,'سال 1395'!B45,'سال 1396'!B45,'سال 1397'!B45,'سال 1398'!B45,'سال 1399'!B45,'سال 1400'!B45,'سال 1401'!B45,'سال 1402'!B45,'سال 1403'!B45)-MIN('سال 1392'!B45,'سال 1393'!B45,'سال 1394'!B45,'سال 1395'!B45,'سال 1396'!B45,'سال 1397'!B45,'سال 1398'!B45,'سال 1399'!B45,'سال 1400'!B45,'سال 1401'!B45,'سال 1402'!B45,'سال 1403'!B45)</ns0:f>
        <ns0:v>0.02709939318657255</ns0:v>
      </ns0:c>
      <ns0:c r="C170" s="78">
        <ns0:f>MAX('سال 1392'!C45,'سال 1393'!C45,'سال 1394'!C45,'سال 1395'!C45,'سال 1396'!C45,'سال 1397'!C45,'سال 1398'!C45,'سال 1399'!C45,'سال 1400'!C45,'سال 1401'!C45,'سال 1402'!C45,'سال 1403'!C45)-MIN('سال 1392'!C45,'سال 1393'!C45,'سال 1394'!C45,'سال 1395'!C45,'سال 1396'!C45,'سال 1397'!C45,'سال 1398'!C45,'سال 1399'!C45,'سال 1400'!C45,'سال 1401'!C45,'سال 1402'!C45,'سال 1403'!C45)</ns0:f>
        <ns0:v>0.03675544204867634</ns0:v>
      </ns0:c>
      <ns0:c r="D170" s="78">
        <ns0:f>MAX('سال 1392'!D45,'سال 1393'!D45,'سال 1394'!D45,'سال 1395'!D45,'سال 1396'!D45,'سال 1397'!D45,'سال 1398'!D45,'سال 1399'!D45,'سال 1400'!D45,'سال 1401'!D45,'سال 1402'!D45,'سال 1403'!D45)-MIN('سال 1392'!D45,'سال 1393'!D45,'سال 1394'!D45,'سال 1395'!D45,'سال 1396'!D45,'سال 1397'!D45,'سال 1398'!D45,'سال 1399'!D45,'سال 1400'!D45,'سال 1401'!D45,'سال 1402'!D45,'سال 1403'!D45)</ns0:f>
        <ns0:v>0.016133914173484268</ns0:v>
      </ns0:c>
      <ns0:c r="E170" s="77">
        <ns0:f>MAX('سال 1392'!E45,'سال 1393'!E45,'سال 1394'!E45,'سال 1395'!E45,'سال 1396'!E45,'سال 1397'!E45,'سال 1398'!E45,'سال 1399'!E45,'سال 1400'!E45,'سال 1401'!E45,'سال 1402'!E45,'سال 1403'!E45)-MIN('سال 1392'!E45,'سال 1393'!E45,'سال 1394'!E45,'سال 1395'!E45,'سال 1396'!E45,'سال 1397'!E45,'سال 1398'!E45,'سال 1399'!E45,'سال 1400'!E45,'سال 1401'!E45,'سال 1402'!E45,'سال 1403'!E45)</ns0:f>
        <ns0:v>0.04222162744740654</ns0:v>
      </ns0:c>
      <ns0:c r="F170" s="78">
        <ns0:f>MAX('سال 1392'!F45,'سال 1393'!F45,'سال 1394'!F45,'سال 1395'!F45,'سال 1396'!F45,'سال 1397'!F45,'سال 1398'!F45,'سال 1399'!F45,'سال 1400'!F45,'سال 1401'!F45,'سال 1402'!F45,'سال 1403'!F45)-MIN('سال 1392'!F45,'سال 1393'!F45,'سال 1394'!F45,'سال 1395'!F45,'سال 1396'!F45,'سال 1397'!F45,'سال 1398'!F45,'سال 1399'!F45,'سال 1400'!F45,'سال 1401'!F45,'سال 1402'!F45,'سال 1403'!F45)</ns0:f>
        <ns0:v>0.009933721027440449</ns0:v>
      </ns0:c>
      <ns0:c r="G170" s="78">
        <ns0:f>MAX('سال 1392'!G45,'سال 1393'!G45,'سال 1394'!G45,'سال 1395'!G45,'سال 1396'!G45,'سال 1397'!G45,'سال 1398'!G45,'سال 1399'!G45,'سال 1400'!G45,'سال 1401'!G45,'سال 1402'!G45,'سال 1403'!G45)-MIN('سال 1392'!G45,'سال 1393'!G45,'سال 1394'!G45,'سال 1395'!G45,'سال 1396'!G45,'سال 1397'!G45,'سال 1398'!G45,'سال 1399'!G45,'سال 1400'!G45,'سال 1401'!G45,'سال 1402'!G45,'سال 1403'!G45)</ns0:f>
        <ns0:v>0.009129043283022883</ns0:v>
      </ns0:c>
      <ns0:c r="H170" s="78">
        <ns0:f>MAX('سال 1392'!H45,'سال 1393'!H45,'سال 1394'!H45,'سال 1395'!H45,'سال 1396'!H45,'سال 1397'!H45,'سال 1398'!H45,'سال 1399'!H45,'سال 1400'!H45,'سال 1401'!H45,'سال 1402'!H45,'سال 1403'!H45)-MIN('سال 1392'!H45,'سال 1393'!H45,'سال 1394'!H45,'سال 1395'!H45,'سال 1396'!H45,'سال 1397'!H45,'سال 1398'!H45,'سال 1399'!H45,'سال 1400'!H45,'سال 1401'!H45,'سال 1402'!H45,'سال 1403'!H45)</ns0:f>
        <ns0:v>0.03663041833008458</ns0:v>
      </ns0:c>
      <ns0:c r="I170" s="78">
        <ns0:f>MAX('سال 1392'!I45,'سال 1393'!I45,'سال 1394'!I45,'سال 1395'!I45,'سال 1396'!I45,'سال 1397'!I45,'سال 1398'!I45,'سال 1399'!I45,'سال 1400'!I45,'سال 1401'!I45,'سال 1402'!I45,'سال 1403'!I45)-MIN('سال 1392'!I45,'سال 1393'!I45,'سال 1394'!I45,'سال 1395'!I45,'سال 1396'!I45,'سال 1397'!I45,'سال 1398'!I45,'سال 1399'!I45,'سال 1400'!I45,'سال 1401'!I45,'سال 1402'!I45,'سال 1403'!I45)</ns0:f>
        <ns0:v>0.009274518877804484</ns0:v>
      </ns0:c>
      <ns0:c r="J170" s="78">
        <ns0:f>MAX('سال 1392'!J45,'سال 1393'!J45,'سال 1394'!J45,'سال 1395'!J45,'سال 1396'!J45,'سال 1397'!J45,'سال 1398'!J45,'سال 1399'!J45,'سال 1400'!J45,'سال 1401'!J45,'سال 1402'!J45,'سال 1403'!J45)-MIN('سال 1392'!J45,'سال 1393'!J45,'سال 1394'!J45,'سال 1395'!J45,'سال 1396'!J45,'سال 1397'!J45,'سال 1398'!J45,'سال 1399'!J45,'سال 1400'!J45,'سال 1401'!J45,'سال 1402'!J45,'سال 1403'!J45)</ns0:f>
        <ns0:v>0.02406662963634419</ns0:v>
      </ns0:c>
      <ns0:c r="K170" s="78">
        <ns0:f>MAX('سال 1392'!K45,'سال 1393'!K45,'سال 1394'!K45,'سال 1395'!K45,'سال 1396'!K45,'سال 1397'!K45,'سال 1398'!K45,'سال 1399'!K45,'سال 1400'!K45,'سال 1401'!K45,'سال 1402'!K45,'سال 1403'!K45)-MIN('سال 1392'!K45,'سال 1393'!K45,'سال 1394'!K45,'سال 1395'!K45,'سال 1396'!K45,'سال 1397'!K45,'سال 1398'!K45,'سال 1399'!K45,'سال 1400'!K45,'سال 1401'!K45,'سال 1402'!K45,'سال 1403'!K45)</ns0:f>
        <ns0:v>0.011184254154551418</ns0:v>
      </ns0:c>
      <ns0:c r="L170" s="78">
        <ns0:f>MAX('سال 1392'!L45,'سال 1393'!L45,'سال 1394'!L45,'سال 1395'!L45,'سال 1396'!L45,'سال 1397'!L45,'سال 1398'!L45,'سال 1399'!L45,'سال 1400'!L45,'سال 1401'!L45,'سال 1402'!L45,'سال 1403'!L45)-MIN('سال 1392'!L45,'سال 1393'!L45,'سال 1394'!L45,'سال 1395'!L45,'سال 1396'!L45,'سال 1397'!L45,'سال 1398'!L45,'سال 1399'!L45,'سال 1400'!L45,'سال 1401'!L45,'سال 1402'!L45,'سال 1403'!L45)</ns0:f>
        <ns0:v>0.025966755685415455</ns0:v>
      </ns0:c>
      <ns0:c r="M170" s="78">
        <ns0:f>MAX('سال 1392'!M45,'سال 1393'!M45,'سال 1394'!M45,'سال 1395'!M45,'سال 1396'!M45,'سال 1397'!M45,'سال 1398'!M45,'سال 1399'!M45,'سال 1400'!M45,'سال 1401'!M45,'سال 1402'!M45,'سال 1403'!M45)-MIN('سال 1392'!M45,'سال 1393'!M45,'سال 1394'!M45,'سال 1395'!M45,'سال 1396'!M45,'سال 1397'!M45,'سال 1398'!M45,'سال 1399'!M45,'سال 1400'!M45,'سال 1401'!M45,'سال 1402'!M45,'سال 1403'!M45)</ns0:f>
        <ns0:v>0.024132835901226876</ns0:v>
      </ns0:c>
    </ns0:row>
    <ns0:row r="171" ht="30" customHeight="1">
      <ns0:c r="A171" s="73" t="inlineStr">
        <ns0:is>
          <ns0:t>روغن و چربی</ns0:t>
        </ns0:is>
      </ns0:c>
      <ns0:c r="B171" s="78">
        <ns0:f>MAX('سال 1392'!B46,'سال 1393'!B46,'سال 1394'!B46,'سال 1395'!B46,'سال 1396'!B46,'سال 1397'!B46,'سال 1398'!B46,'سال 1399'!B46,'سال 1400'!B46,'سال 1401'!B46,'سال 1402'!B46,'سال 1403'!B46)-MIN('سال 1392'!B46,'سال 1393'!B46,'سال 1394'!B46,'سال 1395'!B46,'سال 1396'!B46,'سال 1397'!B46,'سال 1398'!B46,'سال 1399'!B46,'سال 1400'!B46,'سال 1401'!B46,'سال 1402'!B46,'سال 1403'!B46)</ns0:f>
        <ns0:v>0.020946390534270425</ns0:v>
      </ns0:c>
      <ns0:c r="C171" s="78">
        <ns0:f>MAX('سال 1392'!C46,'سال 1393'!C46,'سال 1394'!C46,'سال 1395'!C46,'سال 1396'!C46,'سال 1397'!C46,'سال 1398'!C46,'سال 1399'!C46,'سال 1400'!C46,'سال 1401'!C46,'سال 1402'!C46,'سال 1403'!C46)-MIN('سال 1392'!C46,'سال 1393'!C46,'سال 1394'!C46,'سال 1395'!C46,'سال 1396'!C46,'سال 1397'!C46,'سال 1398'!C46,'سال 1399'!C46,'سال 1400'!C46,'سال 1401'!C46,'سال 1402'!C46,'سال 1403'!C46)</ns0:f>
        <ns0:v>0.027673020564336404</ns0:v>
      </ns0:c>
      <ns0:c r="D171" s="78">
        <ns0:f>MAX('سال 1392'!D46,'سال 1393'!D46,'سال 1394'!D46,'سال 1395'!D46,'سال 1396'!D46,'سال 1397'!D46,'سال 1398'!D46,'سال 1399'!D46,'سال 1400'!D46,'سال 1401'!D46,'سال 1402'!D46,'سال 1403'!D46)-MIN('سال 1392'!D46,'سال 1393'!D46,'سال 1394'!D46,'سال 1395'!D46,'سال 1396'!D46,'سال 1397'!D46,'سال 1398'!D46,'سال 1399'!D46,'سال 1400'!D46,'سال 1401'!D46,'سال 1402'!D46,'سال 1403'!D46)</ns0:f>
        <ns0:v>0.05257625666163951</ns0:v>
      </ns0:c>
      <ns0:c r="E171" s="78">
        <ns0:f>MAX('سال 1392'!E46,'سال 1393'!E46,'سال 1394'!E46,'سال 1395'!E46,'سال 1396'!E46,'سال 1397'!E46,'سال 1398'!E46,'سال 1399'!E46,'سال 1400'!E46,'سال 1401'!E46,'سال 1402'!E46,'سال 1403'!E46)-MIN('سال 1392'!E46,'سال 1393'!E46,'سال 1394'!E46,'سال 1395'!E46,'سال 1396'!E46,'سال 1397'!E46,'سال 1398'!E46,'سال 1399'!E46,'سال 1400'!E46,'سال 1401'!E46,'سال 1402'!E46,'سال 1403'!E46)</ns0:f>
        <ns0:v>0.04049421905945845</ns0:v>
      </ns0:c>
      <ns0:c r="F171" s="77">
        <ns0:f>MAX('سال 1392'!F46,'سال 1393'!F46,'سال 1394'!F46,'سال 1395'!F46,'سال 1396'!F46,'سال 1397'!F46,'سال 1398'!F46,'سال 1399'!F46,'سال 1400'!F46,'سال 1401'!F46,'سال 1402'!F46,'سال 1403'!F46)-MIN('سال 1392'!F46,'سال 1393'!F46,'سال 1394'!F46,'سال 1395'!F46,'سال 1396'!F46,'سال 1397'!F46,'سال 1398'!F46,'سال 1399'!F46,'سال 1400'!F46,'سال 1401'!F46,'سال 1402'!F46,'سال 1403'!F46)</ns0:f>
        <ns0:v>0.23647429785507812</ns0:v>
      </ns0:c>
      <ns0:c r="G171" s="78">
        <ns0:f>MAX('سال 1392'!G46,'سال 1393'!G46,'سال 1394'!G46,'سال 1395'!G46,'سال 1396'!G46,'سال 1397'!G46,'سال 1398'!G46,'سال 1399'!G46,'سال 1400'!G46,'سال 1401'!G46,'سال 1402'!G46,'سال 1403'!G46)-MIN('سال 1392'!G46,'سال 1393'!G46,'سال 1394'!G46,'سال 1395'!G46,'سال 1396'!G46,'سال 1397'!G46,'سال 1398'!G46,'سال 1399'!G46,'سال 1400'!G46,'سال 1401'!G46,'سال 1402'!G46,'سال 1403'!G46)</ns0:f>
        <ns0:v>0.00787013249251367</ns0:v>
      </ns0:c>
      <ns0:c r="H171" s="78">
        <ns0:f>MAX('سال 1392'!H46,'سال 1393'!H46,'سال 1394'!H46,'سال 1395'!H46,'سال 1396'!H46,'سال 1397'!H46,'سال 1398'!H46,'سال 1399'!H46,'سال 1400'!H46,'سال 1401'!H46,'سال 1402'!H46,'سال 1403'!H46)-MIN('سال 1392'!H46,'سال 1393'!H46,'سال 1394'!H46,'سال 1395'!H46,'سال 1396'!H46,'سال 1397'!H46,'سال 1398'!H46,'سال 1399'!H46,'سال 1400'!H46,'سال 1401'!H46,'سال 1402'!H46,'سال 1403'!H46)</ns0:f>
        <ns0:v>0.019289678719351763</ns0:v>
      </ns0:c>
      <ns0:c r="I171" s="78">
        <ns0:f>MAX('سال 1392'!I46,'سال 1393'!I46,'سال 1394'!I46,'سال 1395'!I46,'سال 1396'!I46,'سال 1397'!I46,'سال 1398'!I46,'سال 1399'!I46,'سال 1400'!I46,'سال 1401'!I46,'سال 1402'!I46,'سال 1403'!I46)-MIN('سال 1392'!I46,'سال 1393'!I46,'سال 1394'!I46,'سال 1395'!I46,'سال 1396'!I46,'سال 1397'!I46,'سال 1398'!I46,'سال 1399'!I46,'سال 1400'!I46,'سال 1401'!I46,'سال 1402'!I46,'سال 1403'!I46)</ns0:f>
        <ns0:v>0.016070094004189142</ns0:v>
      </ns0:c>
      <ns0:c r="J171" s="78">
        <ns0:f>MAX('سال 1392'!J46,'سال 1393'!J46,'سال 1394'!J46,'سال 1395'!J46,'سال 1396'!J46,'سال 1397'!J46,'سال 1398'!J46,'سال 1399'!J46,'سال 1400'!J46,'سال 1401'!J46,'سال 1402'!J46,'سال 1403'!J46)-MIN('سال 1392'!J46,'سال 1393'!J46,'سال 1394'!J46,'سال 1395'!J46,'سال 1396'!J46,'سال 1397'!J46,'سال 1398'!J46,'سال 1399'!J46,'سال 1400'!J46,'سال 1401'!J46,'سال 1402'!J46,'سال 1403'!J46)</ns0:f>
        <ns0:v>0.011141093259334389</ns0:v>
      </ns0:c>
      <ns0:c r="K171" s="78">
        <ns0:f>MAX('سال 1392'!K46,'سال 1393'!K46,'سال 1394'!K46,'سال 1395'!K46,'سال 1396'!K46,'سال 1397'!K46,'سال 1398'!K46,'سال 1399'!K46,'سال 1400'!K46,'سال 1401'!K46,'سال 1402'!K46,'سال 1403'!K46)-MIN('سال 1392'!K46,'سال 1393'!K46,'سال 1394'!K46,'سال 1395'!K46,'سال 1396'!K46,'سال 1397'!K46,'سال 1398'!K46,'سال 1399'!K46,'سال 1400'!K46,'سال 1401'!K46,'سال 1402'!K46,'سال 1403'!K46)</ns0:f>
        <ns0:v>0.00541361405697814</ns0:v>
      </ns0:c>
      <ns0:c r="L171" s="78">
        <ns0:f>MAX('سال 1392'!L46,'سال 1393'!L46,'سال 1394'!L46,'سال 1395'!L46,'سال 1396'!L46,'سال 1397'!L46,'سال 1398'!L46,'سال 1399'!L46,'سال 1400'!L46,'سال 1401'!L46,'سال 1402'!L46,'سال 1403'!L46)-MIN('سال 1392'!L46,'سال 1393'!L46,'سال 1394'!L46,'سال 1395'!L46,'سال 1396'!L46,'سال 1397'!L46,'سال 1398'!L46,'سال 1399'!L46,'سال 1400'!L46,'سال 1401'!L46,'سال 1402'!L46,'سال 1403'!L46)</ns0:f>
        <ns0:v>0.03196343903307114</ns0:v>
      </ns0:c>
      <ns0:c r="M171" s="78">
        <ns0:f>MAX('سال 1392'!M46,'سال 1393'!M46,'سال 1394'!M46,'سال 1395'!M46,'سال 1396'!M46,'سال 1397'!M46,'سال 1398'!M46,'سال 1399'!M46,'سال 1400'!M46,'سال 1401'!M46,'سال 1402'!M46,'سال 1403'!M46)-MIN('سال 1392'!M46,'سال 1393'!M46,'سال 1394'!M46,'سال 1395'!M46,'سال 1396'!M46,'سال 1397'!M46,'سال 1398'!M46,'سال 1399'!M46,'سال 1400'!M46,'سال 1401'!M46,'سال 1402'!M46,'سال 1403'!M46)</ns0:f>
        <ns0:v>0.019631092548640903</ns0:v>
      </ns0:c>
    </ns0:row>
    <ns0:row r="172" ht="30" customHeight="1">
      <ns0:c r="A172" s="73" t="inlineStr">
        <ns0:is>
          <ns0:t>میوه</ns0:t>
        </ns0:is>
      </ns0:c>
      <ns0:c r="B172" s="78">
        <ns0:f>MAX('سال 1392'!B47,'سال 1393'!B47,'سال 1394'!B47,'سال 1395'!B47,'سال 1396'!B47,'سال 1397'!B47,'سال 1398'!B47,'سال 1399'!B47,'سال 1400'!B47,'سال 1401'!B47,'سال 1402'!B47,'سال 1403'!B47)-MIN('سال 1392'!B47,'سال 1393'!B47,'سال 1394'!B47,'سال 1395'!B47,'سال 1396'!B47,'سال 1397'!B47,'سال 1398'!B47,'سال 1399'!B47,'سال 1400'!B47,'سال 1401'!B47,'سال 1402'!B47,'سال 1403'!B47)</ns0:f>
        <ns0:v>0.01629092361513393</ns0:v>
      </ns0:c>
      <ns0:c r="C172" s="78">
        <ns0:f>MAX('سال 1392'!C47,'سال 1393'!C47,'سال 1394'!C47,'سال 1395'!C47,'سال 1396'!C47,'سال 1397'!C47,'سال 1398'!C47,'سال 1399'!C47,'سال 1400'!C47,'سال 1401'!C47,'سال 1402'!C47,'سال 1403'!C47)-MIN('سال 1392'!C47,'سال 1393'!C47,'سال 1394'!C47,'سال 1395'!C47,'سال 1396'!C47,'سال 1397'!C47,'سال 1398'!C47,'سال 1399'!C47,'سال 1400'!C47,'سال 1401'!C47,'سال 1402'!C47,'سال 1403'!C47)</ns0:f>
        <ns0:v>0.01844246649713134</ns0:v>
      </ns0:c>
      <ns0:c r="D172" s="78">
        <ns0:f>MAX('سال 1392'!D47,'سال 1393'!D47,'سال 1394'!D47,'سال 1395'!D47,'سال 1396'!D47,'سال 1397'!D47,'سال 1398'!D47,'سال 1399'!D47,'سال 1400'!D47,'سال 1401'!D47,'سال 1402'!D47,'سال 1403'!D47)-MIN('سال 1392'!D47,'سال 1393'!D47,'سال 1394'!D47,'سال 1395'!D47,'سال 1396'!D47,'سال 1397'!D47,'سال 1398'!D47,'سال 1399'!D47,'سال 1400'!D47,'سال 1401'!D47,'سال 1402'!D47,'سال 1403'!D47)</ns0:f>
        <ns0:v>0.026472780677718757</ns0:v>
      </ns0:c>
      <ns0:c r="E172" s="78">
        <ns0:f>MAX('سال 1392'!E47,'سال 1393'!E47,'سال 1394'!E47,'سال 1395'!E47,'سال 1396'!E47,'سال 1397'!E47,'سال 1398'!E47,'سال 1399'!E47,'سال 1400'!E47,'سال 1401'!E47,'سال 1402'!E47,'سال 1403'!E47)-MIN('سال 1392'!E47,'سال 1393'!E47,'سال 1394'!E47,'سال 1395'!E47,'سال 1396'!E47,'سال 1397'!E47,'سال 1398'!E47,'سال 1399'!E47,'سال 1400'!E47,'سال 1401'!E47,'سال 1402'!E47,'سال 1403'!E47)</ns0:f>
        <ns0:v>0.014328628054703696</ns0:v>
      </ns0:c>
      <ns0:c r="F172" s="78">
        <ns0:f>MAX('سال 1392'!F47,'سال 1393'!F47,'سال 1394'!F47,'سال 1395'!F47,'سال 1396'!F47,'سال 1397'!F47,'سال 1398'!F47,'سال 1399'!F47,'سال 1400'!F47,'سال 1401'!F47,'سال 1402'!F47,'سال 1403'!F47)-MIN('سال 1392'!F47,'سال 1393'!F47,'سال 1394'!F47,'سال 1395'!F47,'سال 1396'!F47,'سال 1397'!F47,'سال 1398'!F47,'سال 1399'!F47,'سال 1400'!F47,'سال 1401'!F47,'سال 1402'!F47,'سال 1403'!F47)</ns0:f>
        <ns0:v>0.022656180063241632</ns0:v>
      </ns0:c>
      <ns0:c r="G172" s="77">
        <ns0:f>MAX('سال 1392'!G47,'سال 1393'!G47,'سال 1394'!G47,'سال 1395'!G47,'سال 1396'!G47,'سال 1397'!G47,'سال 1398'!G47,'سال 1399'!G47,'سال 1400'!G47,'سال 1401'!G47,'سال 1402'!G47,'سال 1403'!G47)-MIN('سال 1392'!G47,'سال 1393'!G47,'سال 1394'!G47,'سال 1395'!G47,'سال 1396'!G47,'سال 1397'!G47,'سال 1398'!G47,'سال 1399'!G47,'سال 1400'!G47,'سال 1401'!G47,'سال 1402'!G47,'سال 1403'!G47)</ns0:f>
        <ns0:v>0.0873085906415092</ns0:v>
      </ns0:c>
      <ns0:c r="H172" s="78">
        <ns0:f>MAX('سال 1392'!H47,'سال 1393'!H47,'سال 1394'!H47,'سال 1395'!H47,'سال 1396'!H47,'سال 1397'!H47,'سال 1398'!H47,'سال 1399'!H47,'سال 1400'!H47,'سال 1401'!H47,'سال 1402'!H47,'سال 1403'!H47)-MIN('سال 1392'!H47,'سال 1393'!H47,'سال 1394'!H47,'سال 1395'!H47,'سال 1396'!H47,'سال 1397'!H47,'سال 1398'!H47,'سال 1399'!H47,'سال 1400'!H47,'سال 1401'!H47,'سال 1402'!H47,'سال 1403'!H47)</ns0:f>
        <ns0:v>0.020188651949293396</ns0:v>
      </ns0:c>
      <ns0:c r="I172" s="78">
        <ns0:f>MAX('سال 1392'!I47,'سال 1393'!I47,'سال 1394'!I47,'سال 1395'!I47,'سال 1396'!I47,'سال 1397'!I47,'سال 1398'!I47,'سال 1399'!I47,'سال 1400'!I47,'سال 1401'!I47,'سال 1402'!I47,'سال 1403'!I47)-MIN('سال 1392'!I47,'سال 1393'!I47,'سال 1394'!I47,'سال 1395'!I47,'سال 1396'!I47,'سال 1397'!I47,'سال 1398'!I47,'سال 1399'!I47,'سال 1400'!I47,'سال 1401'!I47,'سال 1402'!I47,'سال 1403'!I47)</ns0:f>
        <ns0:v>0.02180775249015323</ns0:v>
      </ns0:c>
      <ns0:c r="J172" s="78">
        <ns0:f>MAX('سال 1392'!J47,'سال 1393'!J47,'سال 1394'!J47,'سال 1395'!J47,'سال 1396'!J47,'سال 1397'!J47,'سال 1398'!J47,'سال 1399'!J47,'سال 1400'!J47,'سال 1401'!J47,'سال 1402'!J47,'سال 1403'!J47)-MIN('سال 1392'!J47,'سال 1393'!J47,'سال 1394'!J47,'سال 1395'!J47,'سال 1396'!J47,'سال 1397'!J47,'سال 1398'!J47,'سال 1399'!J47,'سال 1400'!J47,'سال 1401'!J47,'سال 1402'!J47,'سال 1403'!J47)</ns0:f>
        <ns0:v>0.021743782028617237</ns0:v>
      </ns0:c>
      <ns0:c r="K172" s="78">
        <ns0:f>MAX('سال 1392'!K47,'سال 1393'!K47,'سال 1394'!K47,'سال 1395'!K47,'سال 1396'!K47,'سال 1397'!K47,'سال 1398'!K47,'سال 1399'!K47,'سال 1400'!K47,'سال 1401'!K47,'سال 1402'!K47,'سال 1403'!K47)-MIN('سال 1392'!K47,'سال 1393'!K47,'سال 1394'!K47,'سال 1395'!K47,'سال 1396'!K47,'سال 1397'!K47,'سال 1398'!K47,'سال 1399'!K47,'سال 1400'!K47,'سال 1401'!K47,'سال 1402'!K47,'سال 1403'!K47)</ns0:f>
        <ns0:v>0.024484156699138816</ns0:v>
      </ns0:c>
      <ns0:c r="L172" s="78">
        <ns0:f>MAX('سال 1392'!L47,'سال 1393'!L47,'سال 1394'!L47,'سال 1395'!L47,'سال 1396'!L47,'سال 1397'!L47,'سال 1398'!L47,'سال 1399'!L47,'سال 1400'!L47,'سال 1401'!L47,'سال 1402'!L47,'سال 1403'!L47)-MIN('سال 1392'!L47,'سال 1393'!L47,'سال 1394'!L47,'سال 1395'!L47,'سال 1396'!L47,'سال 1397'!L47,'سال 1398'!L47,'سال 1399'!L47,'سال 1400'!L47,'سال 1401'!L47,'سال 1402'!L47,'سال 1403'!L47)</ns0:f>
        <ns0:v>0.0037403259401763353</ns0:v>
      </ns0:c>
      <ns0:c r="M172" s="78">
        <ns0:f>MAX('سال 1392'!M47,'سال 1393'!M47,'سال 1394'!M47,'سال 1395'!M47,'سال 1396'!M47,'سال 1397'!M47,'سال 1398'!M47,'سال 1399'!M47,'سال 1400'!M47,'سال 1401'!M47,'سال 1402'!M47,'سال 1403'!M47)-MIN('سال 1392'!M47,'سال 1393'!M47,'سال 1394'!M47,'سال 1395'!M47,'سال 1396'!M47,'سال 1397'!M47,'سال 1398'!M47,'سال 1399'!M47,'سال 1400'!M47,'سال 1401'!M47,'سال 1402'!M47,'سال 1403'!M47)</ns0:f>
        <ns0:v>0.013156184388855303</ns0:v>
      </ns0:c>
    </ns0:row>
    <ns0:row r="173" ht="30" customHeight="1">
      <ns0:c r="A173" s="73" t="inlineStr">
        <ns0:is>
          <ns0:t>سبزیجات و سیب‌زمینی</ns0:t>
        </ns0:is>
      </ns0:c>
      <ns0:c r="B173" s="78">
        <ns0:f>MAX('سال 1392'!B48,'سال 1393'!B48,'سال 1394'!B48,'سال 1395'!B48,'سال 1396'!B48,'سال 1397'!B48,'سال 1398'!B48,'سال 1399'!B48,'سال 1400'!B48,'سال 1401'!B48,'سال 1402'!B48,'سال 1403'!B48)-MIN('سال 1392'!B48,'سال 1393'!B48,'سال 1394'!B48,'سال 1395'!B48,'سال 1396'!B48,'سال 1397'!B48,'سال 1398'!B48,'سال 1399'!B48,'سال 1400'!B48,'سال 1401'!B48,'سال 1402'!B48,'سال 1403'!B48)</ns0:f>
        <ns0:v>0.007815206015634173</ns0:v>
      </ns0:c>
      <ns0:c r="C173" s="78">
        <ns0:f>MAX('سال 1392'!C48,'سال 1393'!C48,'سال 1394'!C48,'سال 1395'!C48,'سال 1396'!C48,'سال 1397'!C48,'سال 1398'!C48,'سال 1399'!C48,'سال 1400'!C48,'سال 1401'!C48,'سال 1402'!C48,'سال 1403'!C48)-MIN('سال 1392'!C48,'سال 1393'!C48,'سال 1394'!C48,'سال 1395'!C48,'سال 1396'!C48,'سال 1397'!C48,'سال 1398'!C48,'سال 1399'!C48,'سال 1400'!C48,'سال 1401'!C48,'سال 1402'!C48,'سال 1403'!C48)</ns0:f>
        <ns0:v>0.019243535541575388</ns0:v>
      </ns0:c>
      <ns0:c r="D173" s="78">
        <ns0:f>MAX('سال 1392'!D48,'سال 1393'!D48,'سال 1394'!D48,'سال 1395'!D48,'سال 1396'!D48,'سال 1397'!D48,'سال 1398'!D48,'سال 1399'!D48,'سال 1400'!D48,'سال 1401'!D48,'سال 1402'!D48,'سال 1403'!D48)-MIN('سال 1392'!D48,'سال 1393'!D48,'سال 1394'!D48,'سال 1395'!D48,'سال 1396'!D48,'سال 1397'!D48,'سال 1398'!D48,'سال 1399'!D48,'سال 1400'!D48,'سال 1401'!D48,'سال 1402'!D48,'سال 1403'!D48)</ns0:f>
        <ns0:v>0.03661908665691515</ns0:v>
      </ns0:c>
      <ns0:c r="E173" s="78">
        <ns0:f>MAX('سال 1392'!E48,'سال 1393'!E48,'سال 1394'!E48,'سال 1395'!E48,'سال 1396'!E48,'سال 1397'!E48,'سال 1398'!E48,'سال 1399'!E48,'سال 1400'!E48,'سال 1401'!E48,'سال 1402'!E48,'سال 1403'!E48)-MIN('سال 1392'!E48,'سال 1393'!E48,'سال 1394'!E48,'سال 1395'!E48,'سال 1396'!E48,'سال 1397'!E48,'سال 1398'!E48,'سال 1399'!E48,'سال 1400'!E48,'سال 1401'!E48,'سال 1402'!E48,'سال 1403'!E48)</ns0:f>
        <ns0:v>0.04843277182603847</ns0:v>
      </ns0:c>
      <ns0:c r="F173" s="78">
        <ns0:f>MAX('سال 1392'!F48,'سال 1393'!F48,'سال 1394'!F48,'سال 1395'!F48,'سال 1396'!F48,'سال 1397'!F48,'سال 1398'!F48,'سال 1399'!F48,'سال 1400'!F48,'سال 1401'!F48,'سال 1402'!F48,'سال 1403'!F48)-MIN('سال 1392'!F48,'سال 1393'!F48,'سال 1394'!F48,'سال 1395'!F48,'سال 1396'!F48,'سال 1397'!F48,'سال 1398'!F48,'سال 1399'!F48,'سال 1400'!F48,'سال 1401'!F48,'سال 1402'!F48,'سال 1403'!F48)</ns0:f>
        <ns0:v>0.0101243846186285</ns0:v>
      </ns0:c>
      <ns0:c r="G173" s="78">
        <ns0:f>MAX('سال 1392'!G48,'سال 1393'!G48,'سال 1394'!G48,'سال 1395'!G48,'سال 1396'!G48,'سال 1397'!G48,'سال 1398'!G48,'سال 1399'!G48,'سال 1400'!G48,'سال 1401'!G48,'سال 1402'!G48,'سال 1403'!G48)-MIN('سال 1392'!G48,'سال 1393'!G48,'سال 1394'!G48,'سال 1395'!G48,'سال 1396'!G48,'سال 1397'!G48,'سال 1398'!G48,'سال 1399'!G48,'سال 1400'!G48,'سال 1401'!G48,'سال 1402'!G48,'سال 1403'!G48)</ns0:f>
        <ns0:v>0.0191676375450585</ns0:v>
      </ns0:c>
      <ns0:c r="H173" s="77">
        <ns0:f>MAX('سال 1392'!H48,'سال 1393'!H48,'سال 1394'!H48,'سال 1395'!H48,'سال 1396'!H48,'سال 1397'!H48,'سال 1398'!H48,'سال 1399'!H48,'سال 1400'!H48,'سال 1401'!H48,'سال 1402'!H48,'سال 1403'!H48)-MIN('سال 1392'!H48,'سال 1393'!H48,'سال 1394'!H48,'سال 1395'!H48,'سال 1396'!H48,'سال 1397'!H48,'سال 1398'!H48,'سال 1399'!H48,'سال 1400'!H48,'سال 1401'!H48,'سال 1402'!H48,'سال 1403'!H48)</ns0:f>
        <ns0:v>0.1714128940075038</ns0:v>
      </ns0:c>
      <ns0:c r="I173" s="78">
        <ns0:f>MAX('سال 1392'!I48,'سال 1393'!I48,'سال 1394'!I48,'سال 1395'!I48,'سال 1396'!I48,'سال 1397'!I48,'سال 1398'!I48,'سال 1399'!I48,'سال 1400'!I48,'سال 1401'!I48,'سال 1402'!I48,'سال 1403'!I48)-MIN('سال 1392'!I48,'سال 1393'!I48,'سال 1394'!I48,'سال 1395'!I48,'سال 1396'!I48,'سال 1397'!I48,'سال 1398'!I48,'سال 1399'!I48,'سال 1400'!I48,'سال 1401'!I48,'سال 1402'!I48,'سال 1403'!I48)</ns0:f>
        <ns0:v>0.008348733281128787</ns0:v>
      </ns0:c>
      <ns0:c r="J173" s="78">
        <ns0:f>MAX('سال 1392'!J48,'سال 1393'!J48,'سال 1394'!J48,'سال 1395'!J48,'سال 1396'!J48,'سال 1397'!J48,'سال 1398'!J48,'سال 1399'!J48,'سال 1400'!J48,'سال 1401'!J48,'سال 1402'!J48,'سال 1403'!J48)-MIN('سال 1392'!J48,'سال 1393'!J48,'سال 1394'!J48,'سال 1395'!J48,'سال 1396'!J48,'سال 1397'!J48,'سال 1398'!J48,'سال 1399'!J48,'سال 1400'!J48,'سال 1401'!J48,'سال 1402'!J48,'سال 1403'!J48)</ns0:f>
        <ns0:v>0.009261157245192005</ns0:v>
      </ns0:c>
      <ns0:c r="K173" s="78">
        <ns0:f>MAX('سال 1392'!K48,'سال 1393'!K48,'سال 1394'!K48,'سال 1395'!K48,'سال 1396'!K48,'سال 1397'!K48,'سال 1398'!K48,'سال 1399'!K48,'سال 1400'!K48,'سال 1401'!K48,'سال 1402'!K48,'سال 1403'!K48)-MIN('سال 1392'!K48,'سال 1393'!K48,'سال 1394'!K48,'سال 1395'!K48,'سال 1396'!K48,'سال 1397'!K48,'سال 1398'!K48,'سال 1399'!K48,'سال 1400'!K48,'سال 1401'!K48,'سال 1402'!K48,'سال 1403'!K48)</ns0:f>
        <ns0:v>0.021489820384474327</ns0:v>
      </ns0:c>
      <ns0:c r="L173" s="78">
        <ns0:f>MAX('سال 1392'!L48,'سال 1393'!L48,'سال 1394'!L48,'سال 1395'!L48,'سال 1396'!L48,'سال 1397'!L48,'سال 1398'!L48,'سال 1399'!L48,'سال 1400'!L48,'سال 1401'!L48,'سال 1402'!L48,'سال 1403'!L48)-MIN('سال 1392'!L48,'سال 1393'!L48,'سال 1394'!L48,'سال 1395'!L48,'سال 1396'!L48,'سال 1397'!L48,'سال 1398'!L48,'سال 1399'!L48,'سال 1400'!L48,'سال 1401'!L48,'سال 1402'!L48,'سال 1403'!L48)</ns0:f>
        <ns0:v>0.022129159531477385</ns0:v>
      </ns0:c>
      <ns0:c r="M173" s="78">
        <ns0:f>MAX('سال 1392'!M48,'سال 1393'!M48,'سال 1394'!M48,'سال 1395'!M48,'سال 1396'!M48,'سال 1397'!M48,'سال 1398'!M48,'سال 1399'!M48,'سال 1400'!M48,'سال 1401'!M48,'سال 1402'!M48,'سال 1403'!M48)-MIN('سال 1392'!M48,'سال 1393'!M48,'سال 1394'!M48,'سال 1395'!M48,'سال 1396'!M48,'سال 1397'!M48,'سال 1398'!M48,'سال 1399'!M48,'سال 1400'!M48,'سال 1401'!M48,'سال 1402'!M48,'سال 1403'!M48)</ns0:f>
        <ns0:v>0.019986854620787652</ns0:v>
      </ns0:c>
    </ns0:row>
    <ns0:row r="174" ht="30" customHeight="1">
      <ns0:c r="A174" s="73" t="inlineStr">
        <ns0:is>
          <ns0:t>حبوبات</ns0:t>
        </ns0:is>
      </ns0:c>
      <ns0:c r="B174" s="78">
        <ns0:f>MAX('سال 1392'!B49,'سال 1393'!B49,'سال 1394'!B49,'سال 1395'!B49,'سال 1396'!B49,'سال 1397'!B49,'سال 1398'!B49,'سال 1399'!B49,'سال 1400'!B49,'سال 1401'!B49,'سال 1402'!B49,'سال 1403'!B49)-MIN('سال 1392'!B49,'سال 1393'!B49,'سال 1394'!B49,'سال 1395'!B49,'سال 1396'!B49,'سال 1397'!B49,'سال 1398'!B49,'سال 1399'!B49,'سال 1400'!B49,'سال 1401'!B49,'سال 1402'!B49,'سال 1403'!B49)</ns0:f>
        <ns0:v>0.014106810873139974</ns0:v>
      </ns0:c>
      <ns0:c r="C174" s="78">
        <ns0:f>MAX('سال 1392'!C49,'سال 1393'!C49,'سال 1394'!C49,'سال 1395'!C49,'سال 1396'!C49,'سال 1397'!C49,'سال 1398'!C49,'سال 1399'!C49,'سال 1400'!C49,'سال 1401'!C49,'سال 1402'!C49,'سال 1403'!C49)-MIN('سال 1392'!C49,'سال 1393'!C49,'سال 1394'!C49,'سال 1395'!C49,'سال 1396'!C49,'سال 1397'!C49,'سال 1398'!C49,'سال 1399'!C49,'سال 1400'!C49,'سال 1401'!C49,'سال 1402'!C49,'سال 1403'!C49)</ns0:f>
        <ns0:v>0.033025019260131044</ns0:v>
      </ns0:c>
      <ns0:c r="D174" s="78">
        <ns0:f>MAX('سال 1392'!D49,'سال 1393'!D49,'سال 1394'!D49,'سال 1395'!D49,'سال 1396'!D49,'سال 1397'!D49,'سال 1398'!D49,'سال 1399'!D49,'سال 1400'!D49,'سال 1401'!D49,'سال 1402'!D49,'سال 1403'!D49)-MIN('سال 1392'!D49,'سال 1393'!D49,'سال 1394'!D49,'سال 1395'!D49,'سال 1396'!D49,'سال 1397'!D49,'سال 1398'!D49,'سال 1399'!D49,'سال 1400'!D49,'سال 1401'!D49,'سال 1402'!D49,'سال 1403'!D49)</ns0:f>
        <ns0:v>0.017259038284191102</ns0:v>
      </ns0:c>
      <ns0:c r="E174" s="78">
        <ns0:f>MAX('سال 1392'!E49,'سال 1393'!E49,'سال 1394'!E49,'سال 1395'!E49,'سال 1396'!E49,'سال 1397'!E49,'سال 1398'!E49,'سال 1399'!E49,'سال 1400'!E49,'سال 1401'!E49,'سال 1402'!E49,'سال 1403'!E49)-MIN('سال 1392'!E49,'سال 1393'!E49,'سال 1394'!E49,'سال 1395'!E49,'سال 1396'!E49,'سال 1397'!E49,'سال 1398'!E49,'سال 1399'!E49,'سال 1400'!E49,'سال 1401'!E49,'سال 1402'!E49,'سال 1403'!E49)</ns0:f>
        <ns0:v>0.02856525294289297</ns0:v>
      </ns0:c>
      <ns0:c r="F174" s="78">
        <ns0:f>MAX('سال 1392'!F49,'سال 1393'!F49,'سال 1394'!F49,'سال 1395'!F49,'سال 1396'!F49,'سال 1397'!F49,'سال 1398'!F49,'سال 1399'!F49,'سال 1400'!F49,'سال 1401'!F49,'سال 1402'!F49,'سال 1403'!F49)-MIN('سال 1392'!F49,'سال 1393'!F49,'سال 1394'!F49,'سال 1395'!F49,'سال 1396'!F49,'سال 1397'!F49,'سال 1398'!F49,'سال 1399'!F49,'سال 1400'!F49,'سال 1401'!F49,'سال 1402'!F49,'سال 1403'!F49)</ns0:f>
        <ns0:v>0.0166068292194049</ns0:v>
      </ns0:c>
      <ns0:c r="G174" s="78">
        <ns0:f>MAX('سال 1392'!G49,'سال 1393'!G49,'سال 1394'!G49,'سال 1395'!G49,'سال 1396'!G49,'سال 1397'!G49,'سال 1398'!G49,'سال 1399'!G49,'سال 1400'!G49,'سال 1401'!G49,'سال 1402'!G49,'سال 1403'!G49)-MIN('سال 1392'!G49,'سال 1393'!G49,'سال 1394'!G49,'سال 1395'!G49,'سال 1396'!G49,'سال 1397'!G49,'سال 1398'!G49,'سال 1399'!G49,'سال 1400'!G49,'سال 1401'!G49,'سال 1402'!G49,'سال 1403'!G49)</ns0:f>
        <ns0:v>0.015214649046756207</ns0:v>
      </ns0:c>
      <ns0:c r="H174" s="78">
        <ns0:f>MAX('سال 1392'!H49,'سال 1393'!H49,'سال 1394'!H49,'سال 1395'!H49,'سال 1396'!H49,'سال 1397'!H49,'سال 1398'!H49,'سال 1399'!H49,'سال 1400'!H49,'سال 1401'!H49,'سال 1402'!H49,'سال 1403'!H49)-MIN('سال 1392'!H49,'سال 1393'!H49,'سال 1394'!H49,'سال 1395'!H49,'سال 1396'!H49,'سال 1397'!H49,'سال 1398'!H49,'سال 1399'!H49,'سال 1400'!H49,'سال 1401'!H49,'سال 1402'!H49,'سال 1403'!H49)</ns0:f>
        <ns0:v>0.032908045316317136</ns0:v>
      </ns0:c>
      <ns0:c r="I174" s="77">
        <ns0:f>MAX('سال 1392'!I49,'سال 1393'!I49,'سال 1394'!I49,'سال 1395'!I49,'سال 1396'!I49,'سال 1397'!I49,'سال 1398'!I49,'سال 1399'!I49,'سال 1400'!I49,'سال 1401'!I49,'سال 1402'!I49,'سال 1403'!I49)-MIN('سال 1392'!I49,'سال 1393'!I49,'سال 1394'!I49,'سال 1395'!I49,'سال 1396'!I49,'سال 1397'!I49,'سال 1398'!I49,'سال 1399'!I49,'سال 1400'!I49,'سال 1401'!I49,'سال 1402'!I49,'سال 1403'!I49)</ns0:f>
        <ns0:v>0.039492303037140686</ns0:v>
      </ns0:c>
      <ns0:c r="J174" s="78">
        <ns0:f>MAX('سال 1392'!J49,'سال 1393'!J49,'سال 1394'!J49,'سال 1395'!J49,'سال 1396'!J49,'سال 1397'!J49,'سال 1398'!J49,'سال 1399'!J49,'سال 1400'!J49,'سال 1401'!J49,'سال 1402'!J49,'سال 1403'!J49)-MIN('سال 1392'!J49,'سال 1393'!J49,'سال 1394'!J49,'سال 1395'!J49,'سال 1396'!J49,'سال 1397'!J49,'سال 1398'!J49,'سال 1399'!J49,'سال 1400'!J49,'سال 1401'!J49,'سال 1402'!J49,'سال 1403'!J49)</ns0:f>
        <ns0:v>0.017156567667915845</ns0:v>
      </ns0:c>
      <ns0:c r="K174" s="78">
        <ns0:f>MAX('سال 1392'!K49,'سال 1393'!K49,'سال 1394'!K49,'سال 1395'!K49,'سال 1396'!K49,'سال 1397'!K49,'سال 1398'!K49,'سال 1399'!K49,'سال 1400'!K49,'سال 1401'!K49,'سال 1402'!K49,'سال 1403'!K49)-MIN('سال 1392'!K49,'سال 1393'!K49,'سال 1394'!K49,'سال 1395'!K49,'سال 1396'!K49,'سال 1397'!K49,'سال 1398'!K49,'سال 1399'!K49,'سال 1400'!K49,'سال 1401'!K49,'سال 1402'!K49,'سال 1403'!K49)</ns0:f>
        <ns0:v>0.031995827672358035</ns0:v>
      </ns0:c>
      <ns0:c r="L174" s="78">
        <ns0:f>MAX('سال 1392'!L49,'سال 1393'!L49,'سال 1394'!L49,'سال 1395'!L49,'سال 1396'!L49,'سال 1397'!L49,'سال 1398'!L49,'سال 1399'!L49,'سال 1400'!L49,'سال 1401'!L49,'سال 1402'!L49,'سال 1403'!L49)-MIN('سال 1392'!L49,'سال 1393'!L49,'سال 1394'!L49,'سال 1395'!L49,'سال 1396'!L49,'سال 1397'!L49,'سال 1398'!L49,'سال 1399'!L49,'سال 1400'!L49,'سال 1401'!L49,'سال 1402'!L49,'سال 1403'!L49)</ns0:f>
        <ns0:v>0.009569585741479193</ns0:v>
      </ns0:c>
      <ns0:c r="M174" s="78">
        <ns0:f>MAX('سال 1392'!M49,'سال 1393'!M49,'سال 1394'!M49,'سال 1395'!M49,'سال 1396'!M49,'سال 1397'!M49,'سال 1398'!M49,'سال 1399'!M49,'سال 1400'!M49,'سال 1401'!M49,'سال 1402'!M49,'سال 1403'!M49)-MIN('سال 1392'!M49,'سال 1393'!M49,'سال 1394'!M49,'سال 1395'!M49,'سال 1396'!M49,'سال 1397'!M49,'سال 1398'!M49,'سال 1399'!M49,'سال 1400'!M49,'سال 1401'!M49,'سال 1402'!M49,'سال 1403'!M49)</ns0:f>
        <ns0:v>0.007448445007048056</ns0:v>
      </ns0:c>
    </ns0:row>
    <ns0:row r="175" ht="30" customHeight="1">
      <ns0:c r="A175" s="73" t="inlineStr">
        <ns0:is>
          <ns0:t>مغزها، خشکبار و خرما</ns0:t>
        </ns0:is>
      </ns0:c>
      <ns0:c r="B175" s="78">
        <ns0:f>MAX('سال 1392'!B50,'سال 1393'!B50,'سال 1394'!B50,'سال 1395'!B50,'سال 1396'!B50,'سال 1397'!B50,'سال 1398'!B50,'سال 1399'!B50,'سال 1400'!B50,'سال 1401'!B50,'سال 1402'!B50,'سال 1403'!B50)-MIN('سال 1392'!B50,'سال 1393'!B50,'سال 1394'!B50,'سال 1395'!B50,'سال 1396'!B50,'سال 1397'!B50,'سال 1398'!B50,'سال 1399'!B50,'سال 1400'!B50,'سال 1401'!B50,'سال 1402'!B50,'سال 1403'!B50)</ns0:f>
        <ns0:v>0.04850596523116124</ns0:v>
      </ns0:c>
      <ns0:c r="C175" s="78">
        <ns0:f>MAX('سال 1392'!C50,'سال 1393'!C50,'سال 1394'!C50,'سال 1395'!C50,'سال 1396'!C50,'سال 1397'!C50,'سال 1398'!C50,'سال 1399'!C50,'سال 1400'!C50,'سال 1401'!C50,'سال 1402'!C50,'سال 1403'!C50)-MIN('سال 1392'!C50,'سال 1393'!C50,'سال 1394'!C50,'سال 1395'!C50,'سال 1396'!C50,'سال 1397'!C50,'سال 1398'!C50,'سال 1399'!C50,'سال 1400'!C50,'سال 1401'!C50,'سال 1402'!C50,'سال 1403'!C50)</ns0:f>
        <ns0:v>0.03404503809110162</ns0:v>
      </ns0:c>
      <ns0:c r="D175" s="78">
        <ns0:f>MAX('سال 1392'!D50,'سال 1393'!D50,'سال 1394'!D50,'سال 1395'!D50,'سال 1396'!D50,'سال 1397'!D50,'سال 1398'!D50,'سال 1399'!D50,'سال 1400'!D50,'سال 1401'!D50,'سال 1402'!D50,'سال 1403'!D50)-MIN('سال 1392'!D50,'سال 1393'!D50,'سال 1394'!D50,'سال 1395'!D50,'سال 1396'!D50,'سال 1397'!D50,'سال 1398'!D50,'سال 1399'!D50,'سال 1400'!D50,'سال 1401'!D50,'سال 1402'!D50,'سال 1403'!D50)</ns0:f>
        <ns0:v>0.07175631039596667</ns0:v>
      </ns0:c>
      <ns0:c r="E175" s="78">
        <ns0:f>MAX('سال 1392'!E50,'سال 1393'!E50,'سال 1394'!E50,'سال 1395'!E50,'سال 1396'!E50,'سال 1397'!E50,'سال 1398'!E50,'سال 1399'!E50,'سال 1400'!E50,'سال 1401'!E50,'سال 1402'!E50,'سال 1403'!E50)-MIN('سال 1392'!E50,'سال 1393'!E50,'سال 1394'!E50,'سال 1395'!E50,'سال 1396'!E50,'سال 1397'!E50,'سال 1398'!E50,'سال 1399'!E50,'سال 1400'!E50,'سال 1401'!E50,'سال 1402'!E50,'سال 1403'!E50)</ns0:f>
        <ns0:v>0.0878972084271391</ns0:v>
      </ns0:c>
      <ns0:c r="F175" s="78">
        <ns0:f>MAX('سال 1392'!F50,'سال 1393'!F50,'سال 1394'!F50,'سال 1395'!F50,'سال 1396'!F50,'سال 1397'!F50,'سال 1398'!F50,'سال 1399'!F50,'سال 1400'!F50,'سال 1401'!F50,'سال 1402'!F50,'سال 1403'!F50)-MIN('سال 1392'!F50,'سال 1393'!F50,'سال 1394'!F50,'سال 1395'!F50,'سال 1396'!F50,'سال 1397'!F50,'سال 1398'!F50,'سال 1399'!F50,'سال 1400'!F50,'سال 1401'!F50,'سال 1402'!F50,'سال 1403'!F50)</ns0:f>
        <ns0:v>0.011413786348016923</ns0:v>
      </ns0:c>
      <ns0:c r="G175" s="78">
        <ns0:f>MAX('سال 1392'!G50,'سال 1393'!G50,'سال 1394'!G50,'سال 1395'!G50,'سال 1396'!G50,'سال 1397'!G50,'سال 1398'!G50,'سال 1399'!G50,'سال 1400'!G50,'سال 1401'!G50,'سال 1402'!G50,'سال 1403'!G50)-MIN('سال 1392'!G50,'سال 1393'!G50,'سال 1394'!G50,'سال 1395'!G50,'سال 1396'!G50,'سال 1397'!G50,'سال 1398'!G50,'سال 1399'!G50,'سال 1400'!G50,'سال 1401'!G50,'سال 1402'!G50,'سال 1403'!G50)</ns0:f>
        <ns0:v>0.05709256118492845</ns0:v>
      </ns0:c>
      <ns0:c r="H175" s="78">
        <ns0:f>MAX('سال 1392'!H50,'سال 1393'!H50,'سال 1394'!H50,'سال 1395'!H50,'سال 1396'!H50,'سال 1397'!H50,'سال 1398'!H50,'سال 1399'!H50,'سال 1400'!H50,'سال 1401'!H50,'سال 1402'!H50,'سال 1403'!H50)-MIN('سال 1392'!H50,'سال 1393'!H50,'سال 1394'!H50,'سال 1395'!H50,'سال 1396'!H50,'سال 1397'!H50,'سال 1398'!H50,'سال 1399'!H50,'سال 1400'!H50,'سال 1401'!H50,'سال 1402'!H50,'سال 1403'!H50)</ns0:f>
        <ns0:v>0.04605041834311424</ns0:v>
      </ns0:c>
      <ns0:c r="I175" s="78">
        <ns0:f>MAX('سال 1392'!I50,'سال 1393'!I50,'سال 1394'!I50,'سال 1395'!I50,'سال 1396'!I50,'سال 1397'!I50,'سال 1398'!I50,'سال 1399'!I50,'سال 1400'!I50,'سال 1401'!I50,'سال 1402'!I50,'سال 1403'!I50)-MIN('سال 1392'!I50,'سال 1393'!I50,'سال 1394'!I50,'سال 1395'!I50,'سال 1396'!I50,'سال 1397'!I50,'سال 1398'!I50,'سال 1399'!I50,'سال 1400'!I50,'سال 1401'!I50,'سال 1402'!I50,'سال 1403'!I50)</ns0:f>
        <ns0:v>0.044252662885136365</ns0:v>
      </ns0:c>
      <ns0:c r="J175" s="77">
        <ns0:f>MAX('سال 1392'!J50,'سال 1393'!J50,'سال 1394'!J50,'سال 1395'!J50,'سال 1396'!J50,'سال 1397'!J50,'سال 1398'!J50,'سال 1399'!J50,'سال 1400'!J50,'سال 1401'!J50,'سال 1402'!J50,'سال 1403'!J50)-MIN('سال 1392'!J50,'سال 1393'!J50,'سال 1394'!J50,'سال 1395'!J50,'سال 1396'!J50,'سال 1397'!J50,'سال 1398'!J50,'سال 1399'!J50,'سال 1400'!J50,'سال 1401'!J50,'سال 1402'!J50,'سال 1403'!J50)</ns0:f>
        <ns0:v>0.07076634584290153</ns0:v>
      </ns0:c>
      <ns0:c r="K175" s="78">
        <ns0:f>MAX('سال 1392'!K50,'سال 1393'!K50,'سال 1394'!K50,'سال 1395'!K50,'سال 1396'!K50,'سال 1397'!K50,'سال 1398'!K50,'سال 1399'!K50,'سال 1400'!K50,'سال 1401'!K50,'سال 1402'!K50,'سال 1403'!K50)-MIN('سال 1392'!K50,'سال 1393'!K50,'سال 1394'!K50,'سال 1395'!K50,'سال 1396'!K50,'سال 1397'!K50,'سال 1398'!K50,'سال 1399'!K50,'سال 1400'!K50,'سال 1401'!K50,'سال 1402'!K50,'سال 1403'!K50)</ns0:f>
        <ns0:v>0.02736863261204285</ns0:v>
      </ns0:c>
      <ns0:c r="L175" s="78">
        <ns0:f>MAX('سال 1392'!L50,'سال 1393'!L50,'سال 1394'!L50,'سال 1395'!L50,'سال 1396'!L50,'سال 1397'!L50,'سال 1398'!L50,'سال 1399'!L50,'سال 1400'!L50,'سال 1401'!L50,'سال 1402'!L50,'سال 1403'!L50)-MIN('سال 1392'!L50,'سال 1393'!L50,'سال 1394'!L50,'سال 1395'!L50,'سال 1396'!L50,'سال 1397'!L50,'سال 1398'!L50,'سال 1399'!L50,'سال 1400'!L50,'سال 1401'!L50,'سال 1402'!L50,'سال 1403'!L50)</ns0:f>
        <ns0:v>0.042943680809679946</ns0:v>
      </ns0:c>
      <ns0:c r="M175" s="78">
        <ns0:f>MAX('سال 1392'!M50,'سال 1393'!M50,'سال 1394'!M50,'سال 1395'!M50,'سال 1396'!M50,'سال 1397'!M50,'سال 1398'!M50,'سال 1399'!M50,'سال 1400'!M50,'سال 1401'!M50,'سال 1402'!M50,'سال 1403'!M50)-MIN('سال 1392'!M50,'سال 1393'!M50,'سال 1394'!M50,'سال 1395'!M50,'سال 1396'!M50,'سال 1397'!M50,'سال 1398'!M50,'سال 1399'!M50,'سال 1400'!M50,'سال 1401'!M50,'سال 1402'!M50,'سال 1403'!M50)</ns0:f>
        <ns0:v>0.08131061633748296</ns0:v>
      </ns0:c>
    </ns0:row>
    <ns0:row r="176" ht="30" customHeight="1">
      <ns0:c r="A176" s="73" t="inlineStr">
        <ns0:is>
          <ns0:t>قند، شیرینی و تنقلات</ns0:t>
        </ns0:is>
      </ns0:c>
      <ns0:c r="B176" s="78">
        <ns0:f>MAX('سال 1392'!B51,'سال 1393'!B51,'سال 1394'!B51,'سال 1395'!B51,'سال 1396'!B51,'سال 1397'!B51,'سال 1398'!B51,'سال 1399'!B51,'سال 1400'!B51,'سال 1401'!B51,'سال 1402'!B51,'سال 1403'!B51)-MIN('سال 1392'!B51,'سال 1393'!B51,'سال 1394'!B51,'سال 1395'!B51,'سال 1396'!B51,'سال 1397'!B51,'سال 1398'!B51,'سال 1399'!B51,'سال 1400'!B51,'سال 1401'!B51,'سال 1402'!B51,'سال 1403'!B51)</ns0:f>
        <ns0:v>0.021454739840824702</ns0:v>
      </ns0:c>
      <ns0:c r="C176" s="78">
        <ns0:f>MAX('سال 1392'!C51,'سال 1393'!C51,'سال 1394'!C51,'سال 1395'!C51,'سال 1396'!C51,'سال 1397'!C51,'سال 1398'!C51,'سال 1399'!C51,'سال 1400'!C51,'سال 1401'!C51,'سال 1402'!C51,'سال 1403'!C51)-MIN('سال 1392'!C51,'سال 1393'!C51,'سال 1394'!C51,'سال 1395'!C51,'سال 1396'!C51,'سال 1397'!C51,'سال 1398'!C51,'سال 1399'!C51,'سال 1400'!C51,'سال 1401'!C51,'سال 1402'!C51,'سال 1403'!C51)</ns0:f>
        <ns0:v>0.02817289521508058</ns0:v>
      </ns0:c>
      <ns0:c r="D176" s="78">
        <ns0:f>MAX('سال 1392'!D51,'سال 1393'!D51,'سال 1394'!D51,'سال 1395'!D51,'سال 1396'!D51,'سال 1397'!D51,'سال 1398'!D51,'سال 1399'!D51,'سال 1400'!D51,'سال 1401'!D51,'سال 1402'!D51,'سال 1403'!D51)-MIN('سال 1392'!D51,'سال 1393'!D51,'سال 1394'!D51,'سال 1395'!D51,'سال 1396'!D51,'سال 1397'!D51,'سال 1398'!D51,'سال 1399'!D51,'سال 1400'!D51,'سال 1401'!D51,'سال 1402'!D51,'سال 1403'!D51)</ns0:f>
        <ns0:v>0.03046489921829594</ns0:v>
      </ns0:c>
      <ns0:c r="E176" s="78">
        <ns0:f>MAX('سال 1392'!E51,'سال 1393'!E51,'سال 1394'!E51,'سال 1395'!E51,'سال 1396'!E51,'سال 1397'!E51,'سال 1398'!E51,'سال 1399'!E51,'سال 1400'!E51,'سال 1401'!E51,'سال 1402'!E51,'سال 1403'!E51)-MIN('سال 1392'!E51,'سال 1393'!E51,'سال 1394'!E51,'سال 1395'!E51,'سال 1396'!E51,'سال 1397'!E51,'سال 1398'!E51,'سال 1399'!E51,'سال 1400'!E51,'سال 1401'!E51,'سال 1402'!E51,'سال 1403'!E51)</ns0:f>
        <ns0:v>0.014401600629900146</ns0:v>
      </ns0:c>
      <ns0:c r="F176" s="78">
        <ns0:f>MAX('سال 1392'!F51,'سال 1393'!F51,'سال 1394'!F51,'سال 1395'!F51,'سال 1396'!F51,'سال 1397'!F51,'سال 1398'!F51,'سال 1399'!F51,'سال 1400'!F51,'سال 1401'!F51,'سال 1402'!F51,'سال 1403'!F51)-MIN('سال 1392'!F51,'سال 1393'!F51,'سال 1394'!F51,'سال 1395'!F51,'سال 1396'!F51,'سال 1397'!F51,'سال 1398'!F51,'سال 1399'!F51,'سال 1400'!F51,'سال 1401'!F51,'سال 1402'!F51,'سال 1403'!F51)</ns0:f>
        <ns0:v>0.010664949876245238</ns0:v>
      </ns0:c>
      <ns0:c r="G176" s="78">
        <ns0:f>MAX('سال 1392'!G51,'سال 1393'!G51,'سال 1394'!G51,'سال 1395'!G51,'سال 1396'!G51,'سال 1397'!G51,'سال 1398'!G51,'سال 1399'!G51,'سال 1400'!G51,'سال 1401'!G51,'سال 1402'!G51,'سال 1403'!G51)-MIN('سال 1392'!G51,'سال 1393'!G51,'سال 1394'!G51,'سال 1395'!G51,'سال 1396'!G51,'سال 1397'!G51,'سال 1398'!G51,'سال 1399'!G51,'سال 1400'!G51,'سال 1401'!G51,'سال 1402'!G51,'سال 1403'!G51)</ns0:f>
        <ns0:v>0.015053034894948199</ns0:v>
      </ns0:c>
      <ns0:c r="H176" s="78">
        <ns0:f>MAX('سال 1392'!H51,'سال 1393'!H51,'سال 1394'!H51,'سال 1395'!H51,'سال 1396'!H51,'سال 1397'!H51,'سال 1398'!H51,'سال 1399'!H51,'سال 1400'!H51,'سال 1401'!H51,'سال 1402'!H51,'سال 1403'!H51)-MIN('سال 1392'!H51,'سال 1393'!H51,'سال 1394'!H51,'سال 1395'!H51,'سال 1396'!H51,'سال 1397'!H51,'سال 1398'!H51,'سال 1399'!H51,'سال 1400'!H51,'سال 1401'!H51,'سال 1402'!H51,'سال 1403'!H51)</ns0:f>
        <ns0:v>0.01559058118976886</ns0:v>
      </ns0:c>
      <ns0:c r="I176" s="78">
        <ns0:f>MAX('سال 1392'!I51,'سال 1393'!I51,'سال 1394'!I51,'سال 1395'!I51,'سال 1396'!I51,'سال 1397'!I51,'سال 1398'!I51,'سال 1399'!I51,'سال 1400'!I51,'سال 1401'!I51,'سال 1402'!I51,'سال 1403'!I51)-MIN('سال 1392'!I51,'سال 1393'!I51,'سال 1394'!I51,'سال 1395'!I51,'سال 1396'!I51,'سال 1397'!I51,'سال 1398'!I51,'سال 1399'!I51,'سال 1400'!I51,'سال 1401'!I51,'سال 1402'!I51,'سال 1403'!I51)</ns0:f>
        <ns0:v>0.003542545196969289</ns0:v>
      </ns0:c>
      <ns0:c r="J176" s="78">
        <ns0:f>MAX('سال 1392'!J51,'سال 1393'!J51,'سال 1394'!J51,'سال 1395'!J51,'سال 1396'!J51,'سال 1397'!J51,'سال 1398'!J51,'سال 1399'!J51,'سال 1400'!J51,'سال 1401'!J51,'سال 1402'!J51,'سال 1403'!J51)-MIN('سال 1392'!J51,'سال 1393'!J51,'سال 1394'!J51,'سال 1395'!J51,'سال 1396'!J51,'سال 1397'!J51,'سال 1398'!J51,'سال 1399'!J51,'سال 1400'!J51,'سال 1401'!J51,'سال 1402'!J51,'سال 1403'!J51)</ns0:f>
        <ns0:v>0.01114527334078973</ns0:v>
      </ns0:c>
      <ns0:c r="K176" s="77">
        <ns0:f>MAX('سال 1392'!K51,'سال 1393'!K51,'سال 1394'!K51,'سال 1395'!K51,'سال 1396'!K51,'سال 1397'!K51,'سال 1398'!K51,'سال 1399'!K51,'سال 1400'!K51,'سال 1401'!K51,'سال 1402'!K51,'سال 1403'!K51)-MIN('سال 1392'!K51,'سال 1393'!K51,'سال 1394'!K51,'سال 1395'!K51,'سال 1396'!K51,'سال 1397'!K51,'سال 1398'!K51,'سال 1399'!K51,'سال 1400'!K51,'سال 1401'!K51,'سال 1402'!K51,'سال 1403'!K51)</ns0:f>
        <ns0:v>0.1188699342933055</ns0:v>
      </ns0:c>
      <ns0:c r="L176" s="78">
        <ns0:f>MAX('سال 1392'!L51,'سال 1393'!L51,'سال 1394'!L51,'سال 1395'!L51,'سال 1396'!L51,'سال 1397'!L51,'سال 1398'!L51,'سال 1399'!L51,'سال 1400'!L51,'سال 1401'!L51,'سال 1402'!L51,'سال 1403'!L51)-MIN('سال 1392'!L51,'سال 1393'!L51,'سال 1394'!L51,'سال 1395'!L51,'سال 1396'!L51,'سال 1397'!L51,'سال 1398'!L51,'سال 1399'!L51,'سال 1400'!L51,'سال 1401'!L51,'سال 1402'!L51,'سال 1403'!L51)</ns0:f>
        <ns0:v>0.016888819983614668</ns0:v>
      </ns0:c>
      <ns0:c r="M176" s="78">
        <ns0:f>MAX('سال 1392'!M51,'سال 1393'!M51,'سال 1394'!M51,'سال 1395'!M51,'سال 1396'!M51,'سال 1397'!M51,'سال 1398'!M51,'سال 1399'!M51,'سال 1400'!M51,'سال 1401'!M51,'سال 1402'!M51,'سال 1403'!M51)-MIN('سال 1392'!M51,'سال 1393'!M51,'سال 1394'!M51,'سال 1395'!M51,'سال 1396'!M51,'سال 1397'!M51,'سال 1398'!M51,'سال 1399'!M51,'سال 1400'!M51,'سال 1401'!M51,'سال 1402'!M51,'سال 1403'!M51)</ns0:f>
        <ns0:v>0.00656387167717815</ns0:v>
      </ns0:c>
    </ns0:row>
    <ns0:row r="177" ht="30" customHeight="1">
      <ns0:c r="A177" s="73" t="inlineStr">
        <ns0:is>
          <ns0:t>نوشیدنی بدون نوشابه</ns0:t>
        </ns0:is>
      </ns0:c>
      <ns0:c r="B177" s="78">
        <ns0:f>MAX('سال 1392'!B52,'سال 1393'!B52,'سال 1394'!B52,'سال 1395'!B52,'سال 1396'!B52,'سال 1397'!B52,'سال 1398'!B52,'سال 1399'!B52,'سال 1400'!B52,'سال 1401'!B52,'سال 1402'!B52,'سال 1403'!B52)-MIN('سال 1392'!B52,'سال 1393'!B52,'سال 1394'!B52,'سال 1395'!B52,'سال 1396'!B52,'سال 1397'!B52,'سال 1398'!B52,'سال 1399'!B52,'سال 1400'!B52,'سال 1401'!B52,'سال 1402'!B52,'سال 1403'!B52)</ns0:f>
        <ns0:v>0.04158811559623496</ns0:v>
      </ns0:c>
      <ns0:c r="C177" s="78">
        <ns0:f>MAX('سال 1392'!C52,'سال 1393'!C52,'سال 1394'!C52,'سال 1395'!C52,'سال 1396'!C52,'سال 1397'!C52,'سال 1398'!C52,'سال 1399'!C52,'سال 1400'!C52,'سال 1401'!C52,'سال 1402'!C52,'سال 1403'!C52)-MIN('سال 1392'!C52,'سال 1393'!C52,'سال 1394'!C52,'سال 1395'!C52,'سال 1396'!C52,'سال 1397'!C52,'سال 1398'!C52,'سال 1399'!C52,'سال 1400'!C52,'سال 1401'!C52,'سال 1402'!C52,'سال 1403'!C52)</ns0:f>
        <ns0:v>0.04188391171831207</ns0:v>
      </ns0:c>
      <ns0:c r="D177" s="78">
        <ns0:f>MAX('سال 1392'!D52,'سال 1393'!D52,'سال 1394'!D52,'سال 1395'!D52,'سال 1396'!D52,'سال 1397'!D52,'سال 1398'!D52,'سال 1399'!D52,'سال 1400'!D52,'سال 1401'!D52,'سال 1402'!D52,'سال 1403'!D52)-MIN('سال 1392'!D52,'سال 1393'!D52,'سال 1394'!D52,'سال 1395'!D52,'سال 1396'!D52,'سال 1397'!D52,'سال 1398'!D52,'سال 1399'!D52,'سال 1400'!D52,'سال 1401'!D52,'سال 1402'!D52,'سال 1403'!D52)</ns0:f>
        <ns0:v>0.01568645093279107</ns0:v>
      </ns0:c>
      <ns0:c r="E177" s="78">
        <ns0:f>MAX('سال 1392'!E52,'سال 1393'!E52,'سال 1394'!E52,'سال 1395'!E52,'سال 1396'!E52,'سال 1397'!E52,'سال 1398'!E52,'سال 1399'!E52,'سال 1400'!E52,'سال 1401'!E52,'سال 1402'!E52,'سال 1403'!E52)-MIN('سال 1392'!E52,'سال 1393'!E52,'سال 1394'!E52,'سال 1395'!E52,'سال 1396'!E52,'سال 1397'!E52,'سال 1398'!E52,'سال 1399'!E52,'سال 1400'!E52,'سال 1401'!E52,'سال 1402'!E52,'سال 1403'!E52)</ns0:f>
        <ns0:v>0.046316011359396086</ns0:v>
      </ns0:c>
      <ns0:c r="F177" s="78">
        <ns0:f>MAX('سال 1392'!F52,'سال 1393'!F52,'سال 1394'!F52,'سال 1395'!F52,'سال 1396'!F52,'سال 1397'!F52,'سال 1398'!F52,'سال 1399'!F52,'سال 1400'!F52,'سال 1401'!F52,'سال 1402'!F52,'سال 1403'!F52)-MIN('سال 1392'!F52,'سال 1393'!F52,'سال 1394'!F52,'سال 1395'!F52,'سال 1396'!F52,'سال 1397'!F52,'سال 1398'!F52,'سال 1399'!F52,'سال 1400'!F52,'سال 1401'!F52,'سال 1402'!F52,'سال 1403'!F52)</ns0:f>
        <ns0:v>0.014192832538308511</ns0:v>
      </ns0:c>
      <ns0:c r="G177" s="78">
        <ns0:f>MAX('سال 1392'!G52,'سال 1393'!G52,'سال 1394'!G52,'سال 1395'!G52,'سال 1396'!G52,'سال 1397'!G52,'سال 1398'!G52,'سال 1399'!G52,'سال 1400'!G52,'سال 1401'!G52,'سال 1402'!G52,'سال 1403'!G52)-MIN('سال 1392'!G52,'سال 1393'!G52,'سال 1394'!G52,'سال 1395'!G52,'سال 1396'!G52,'سال 1397'!G52,'سال 1398'!G52,'سال 1399'!G52,'سال 1400'!G52,'سال 1401'!G52,'سال 1402'!G52,'سال 1403'!G52)</ns0:f>
        <ns0:v>0.012478059986519255</ns0:v>
      </ns0:c>
      <ns0:c r="H177" s="78">
        <ns0:f>MAX('سال 1392'!H52,'سال 1393'!H52,'سال 1394'!H52,'سال 1395'!H52,'سال 1396'!H52,'سال 1397'!H52,'سال 1398'!H52,'سال 1399'!H52,'سال 1400'!H52,'سال 1401'!H52,'سال 1402'!H52,'سال 1403'!H52)-MIN('سال 1392'!H52,'سال 1393'!H52,'سال 1394'!H52,'سال 1395'!H52,'سال 1396'!H52,'سال 1397'!H52,'سال 1398'!H52,'سال 1399'!H52,'سال 1400'!H52,'سال 1401'!H52,'سال 1402'!H52,'سال 1403'!H52)</ns0:f>
        <ns0:v>0.024693808933457018</ns0:v>
      </ns0:c>
      <ns0:c r="I177" s="78">
        <ns0:f>MAX('سال 1392'!I52,'سال 1393'!I52,'سال 1394'!I52,'سال 1395'!I52,'سال 1396'!I52,'سال 1397'!I52,'سال 1398'!I52,'سال 1399'!I52,'سال 1400'!I52,'سال 1401'!I52,'سال 1402'!I52,'سال 1403'!I52)-MIN('سال 1392'!I52,'سال 1393'!I52,'سال 1394'!I52,'سال 1395'!I52,'سال 1396'!I52,'سال 1397'!I52,'سال 1398'!I52,'سال 1399'!I52,'سال 1400'!I52,'سال 1401'!I52,'سال 1402'!I52,'سال 1403'!I52)</ns0:f>
        <ns0:v>0.016294270038002115</ns0:v>
      </ns0:c>
      <ns0:c r="J177" s="78">
        <ns0:f>MAX('سال 1392'!J52,'سال 1393'!J52,'سال 1394'!J52,'سال 1395'!J52,'سال 1396'!J52,'سال 1397'!J52,'سال 1398'!J52,'سال 1399'!J52,'سال 1400'!J52,'سال 1401'!J52,'سال 1402'!J52,'سال 1403'!J52)-MIN('سال 1392'!J52,'سال 1393'!J52,'سال 1394'!J52,'سال 1395'!J52,'سال 1396'!J52,'سال 1397'!J52,'سال 1398'!J52,'سال 1399'!J52,'سال 1400'!J52,'سال 1401'!J52,'سال 1402'!J52,'سال 1403'!J52)</ns0:f>
        <ns0:v>0.029184105275538164</ns0:v>
      </ns0:c>
      <ns0:c r="K177" s="78">
        <ns0:f>MAX('سال 1392'!K52,'سال 1393'!K52,'سال 1394'!K52,'سال 1395'!K52,'سال 1396'!K52,'سال 1397'!K52,'سال 1398'!K52,'سال 1399'!K52,'سال 1400'!K52,'سال 1401'!K52,'سال 1402'!K52,'سال 1403'!K52)-MIN('سال 1392'!K52,'سال 1393'!K52,'سال 1394'!K52,'سال 1395'!K52,'سال 1396'!K52,'سال 1397'!K52,'سال 1398'!K52,'سال 1399'!K52,'سال 1400'!K52,'سال 1401'!K52,'سال 1402'!K52,'سال 1403'!K52)</ns0:f>
        <ns0:v>0.04860076675221278</ns0:v>
      </ns0:c>
      <ns0:c r="L177" s="77">
        <ns0:f>MAX('سال 1392'!L52,'سال 1393'!L52,'سال 1394'!L52,'سال 1395'!L52,'سال 1396'!L52,'سال 1397'!L52,'سال 1398'!L52,'سال 1399'!L52,'سال 1400'!L52,'سال 1401'!L52,'سال 1402'!L52,'سال 1403'!L52)-MIN('سال 1392'!L52,'سال 1393'!L52,'سال 1394'!L52,'سال 1395'!L52,'سال 1396'!L52,'سال 1397'!L52,'سال 1398'!L52,'سال 1399'!L52,'سال 1400'!L52,'سال 1401'!L52,'سال 1402'!L52,'سال 1403'!L52)</ns0:f>
        <ns0:v>0.08368488761376847</ns0:v>
      </ns0:c>
      <ns0:c r="M177" s="78">
        <ns0:f>MAX('سال 1392'!M52,'سال 1393'!M52,'سال 1394'!M52,'سال 1395'!M52,'سال 1396'!M52,'سال 1397'!M52,'سال 1398'!M52,'سال 1399'!M52,'سال 1400'!M52,'سال 1401'!M52,'سال 1402'!M52,'سال 1403'!M52)-MIN('سال 1392'!M52,'سال 1393'!M52,'سال 1394'!M52,'سال 1395'!M52,'سال 1396'!M52,'سال 1397'!M52,'سال 1398'!M52,'سال 1399'!M52,'سال 1400'!M52,'سال 1401'!M52,'سال 1402'!M52,'سال 1403'!M52)</ns0:f>
        <ns0:v>0.03137608582612163</ns0:v>
      </ns0:c>
    </ns0:row>
    <ns0:row r="178" ht="30" customHeight="1">
      <ns0:c r="A178" s="73" t="inlineStr">
        <ns0:is>
          <ns0:t>ادویه و چاشنی</ns0:t>
        </ns0:is>
      </ns0:c>
      <ns0:c r="B178" s="78">
        <ns0:f>MAX('سال 1392'!B53,'سال 1393'!B53,'سال 1394'!B53,'سال 1395'!B53,'سال 1396'!B53,'سال 1397'!B53,'سال 1398'!B53,'سال 1399'!B53,'سال 1400'!B53,'سال 1401'!B53,'سال 1402'!B53,'سال 1403'!B53)-MIN('سال 1392'!B53,'سال 1393'!B53,'سال 1394'!B53,'سال 1395'!B53,'سال 1396'!B53,'سال 1397'!B53,'سال 1398'!B53,'سال 1399'!B53,'سال 1400'!B53,'سال 1401'!B53,'سال 1402'!B53,'سال 1403'!B53)</ns0:f>
        <ns0:v>0.059283241923410335</ns0:v>
      </ns0:c>
      <ns0:c r="C178" s="78">
        <ns0:f>MAX('سال 1392'!C53,'سال 1393'!C53,'سال 1394'!C53,'سال 1395'!C53,'سال 1396'!C53,'سال 1397'!C53,'سال 1398'!C53,'سال 1399'!C53,'سال 1400'!C53,'سال 1401'!C53,'سال 1402'!C53,'سال 1403'!C53)-MIN('سال 1392'!C53,'سال 1393'!C53,'سال 1394'!C53,'سال 1395'!C53,'سال 1396'!C53,'سال 1397'!C53,'سال 1398'!C53,'سال 1399'!C53,'سال 1400'!C53,'سال 1401'!C53,'سال 1402'!C53,'سال 1403'!C53)</ns0:f>
        <ns0:v>0.03302206663537467</ns0:v>
      </ns0:c>
      <ns0:c r="D178" s="78">
        <ns0:f>MAX('سال 1392'!D53,'سال 1393'!D53,'سال 1394'!D53,'سال 1395'!D53,'سال 1396'!D53,'سال 1397'!D53,'سال 1398'!D53,'سال 1399'!D53,'سال 1400'!D53,'سال 1401'!D53,'سال 1402'!D53,'سال 1403'!D53)-MIN('سال 1392'!D53,'سال 1393'!D53,'سال 1394'!D53,'سال 1395'!D53,'سال 1396'!D53,'سال 1397'!D53,'سال 1398'!D53,'سال 1399'!D53,'سال 1400'!D53,'سال 1401'!D53,'سال 1402'!D53,'سال 1403'!D53)</ns0:f>
        <ns0:v>0.03057404661480964</ns0:v>
      </ns0:c>
      <ns0:c r="E178" s="78">
        <ns0:f>MAX('سال 1392'!E53,'سال 1393'!E53,'سال 1394'!E53,'سال 1395'!E53,'سال 1396'!E53,'سال 1397'!E53,'سال 1398'!E53,'سال 1399'!E53,'سال 1400'!E53,'سال 1401'!E53,'سال 1402'!E53,'سال 1403'!E53)-MIN('سال 1392'!E53,'سال 1393'!E53,'سال 1394'!E53,'سال 1395'!E53,'سال 1396'!E53,'سال 1397'!E53,'سال 1398'!E53,'سال 1399'!E53,'سال 1400'!E53,'سال 1401'!E53,'سال 1402'!E53,'سال 1403'!E53)</ns0:f>
        <ns0:v>0.07555956996581348</ns0:v>
      </ns0:c>
      <ns0:c r="F178" s="78">
        <ns0:f>MAX('سال 1392'!F53,'سال 1393'!F53,'سال 1394'!F53,'سال 1395'!F53,'سال 1396'!F53,'سال 1397'!F53,'سال 1398'!F53,'سال 1399'!F53,'سال 1400'!F53,'سال 1401'!F53,'سال 1402'!F53,'سال 1403'!F53)-MIN('سال 1392'!F53,'سال 1393'!F53,'سال 1394'!F53,'سال 1395'!F53,'سال 1396'!F53,'سال 1397'!F53,'سال 1398'!F53,'سال 1399'!F53,'سال 1400'!F53,'سال 1401'!F53,'سال 1402'!F53,'سال 1403'!F53)</ns0:f>
        <ns0:v>0.008863393743441403</ns0:v>
      </ns0:c>
      <ns0:c r="G178" s="78">
        <ns0:f>MAX('سال 1392'!G53,'سال 1393'!G53,'سال 1394'!G53,'سال 1395'!G53,'سال 1396'!G53,'سال 1397'!G53,'سال 1398'!G53,'سال 1399'!G53,'سال 1400'!G53,'سال 1401'!G53,'سال 1402'!G53,'سال 1403'!G53)-MIN('سال 1392'!G53,'سال 1393'!G53,'سال 1394'!G53,'سال 1395'!G53,'سال 1396'!G53,'سال 1397'!G53,'سال 1398'!G53,'سال 1399'!G53,'سال 1400'!G53,'سال 1401'!G53,'سال 1402'!G53,'سال 1403'!G53)</ns0:f>
        <ns0:v>0.019935446113034362</ns0:v>
      </ns0:c>
      <ns0:c r="H178" s="78">
        <ns0:f>MAX('سال 1392'!H53,'سال 1393'!H53,'سال 1394'!H53,'سال 1395'!H53,'سال 1396'!H53,'سال 1397'!H53,'سال 1398'!H53,'سال 1399'!H53,'سال 1400'!H53,'سال 1401'!H53,'سال 1402'!H53,'سال 1403'!H53)-MIN('سال 1392'!H53,'سال 1393'!H53,'سال 1394'!H53,'سال 1395'!H53,'سال 1396'!H53,'سال 1397'!H53,'سال 1398'!H53,'سال 1399'!H53,'سال 1400'!H53,'سال 1401'!H53,'سال 1402'!H53,'سال 1403'!H53)</ns0:f>
        <ns0:v>0.014286755704343262</ns0:v>
      </ns0:c>
      <ns0:c r="I178" s="78">
        <ns0:f>MAX('سال 1392'!I53,'سال 1393'!I53,'سال 1394'!I53,'سال 1395'!I53,'سال 1396'!I53,'سال 1397'!I53,'سال 1398'!I53,'سال 1399'!I53,'سال 1400'!I53,'سال 1401'!I53,'سال 1402'!I53,'سال 1403'!I53)-MIN('سال 1392'!I53,'سال 1393'!I53,'سال 1394'!I53,'سال 1395'!I53,'سال 1396'!I53,'سال 1397'!I53,'سال 1398'!I53,'سال 1399'!I53,'سال 1400'!I53,'سال 1401'!I53,'سال 1402'!I53,'سال 1403'!I53)</ns0:f>
        <ns0:v>0.009918515064667184</ns0:v>
      </ns0:c>
      <ns0:c r="J178" s="78">
        <ns0:f>MAX('سال 1392'!J53,'سال 1393'!J53,'سال 1394'!J53,'سال 1395'!J53,'سال 1396'!J53,'سال 1397'!J53,'سال 1398'!J53,'سال 1399'!J53,'سال 1400'!J53,'سال 1401'!J53,'سال 1402'!J53,'سال 1403'!J53)-MIN('سال 1392'!J53,'سال 1393'!J53,'سال 1394'!J53,'سال 1395'!J53,'سال 1396'!J53,'سال 1397'!J53,'سال 1398'!J53,'سال 1399'!J53,'سال 1400'!J53,'سال 1401'!J53,'سال 1402'!J53,'سال 1403'!J53)</ns0:f>
        <ns0:v>0.05111484443227063</ns0:v>
      </ns0:c>
      <ns0:c r="K178" s="78">
        <ns0:f>MAX('سال 1392'!K53,'سال 1393'!K53,'سال 1394'!K53,'سال 1395'!K53,'سال 1396'!K53,'سال 1397'!K53,'سال 1398'!K53,'سال 1399'!K53,'سال 1400'!K53,'سال 1401'!K53,'سال 1402'!K53,'سال 1403'!K53)-MIN('سال 1392'!K53,'سال 1393'!K53,'سال 1394'!K53,'سال 1395'!K53,'سال 1396'!K53,'سال 1397'!K53,'سال 1398'!K53,'سال 1399'!K53,'سال 1400'!K53,'سال 1401'!K53,'سال 1402'!K53,'سال 1403'!K53)</ns0:f>
        <ns0:v>0.01035339266498514</ns0:v>
      </ns0:c>
      <ns0:c r="L178" s="78">
        <ns0:f>MAX('سال 1392'!L53,'سال 1393'!L53,'سال 1394'!L53,'سال 1395'!L53,'سال 1396'!L53,'سال 1397'!L53,'سال 1398'!L53,'سال 1399'!L53,'سال 1400'!L53,'سال 1401'!L53,'سال 1402'!L53,'سال 1403'!L53)-MIN('سال 1392'!L53,'سال 1393'!L53,'سال 1394'!L53,'سال 1395'!L53,'سال 1396'!L53,'سال 1397'!L53,'سال 1398'!L53,'سال 1399'!L53,'سال 1400'!L53,'سال 1401'!L53,'سال 1402'!L53,'سال 1403'!L53)</ns0:f>
        <ns0:v>0.01739979947542217</ns0:v>
      </ns0:c>
      <ns0:c r="M178" s="77">
        <ns0:f>MAX('سال 1392'!M53,'سال 1393'!M53,'سال 1394'!M53,'سال 1395'!M53,'سال 1396'!M53,'سال 1397'!M53,'سال 1398'!M53,'سال 1399'!M53,'سال 1400'!M53,'سال 1401'!M53,'سال 1402'!M53,'سال 1403'!M53)-MIN('سال 1392'!M53,'سال 1393'!M53,'سال 1394'!M53,'سال 1395'!M53,'سال 1396'!M53,'سال 1397'!M53,'سال 1398'!M53,'سال 1399'!M53,'سال 1400'!M53,'سال 1401'!M53,'سال 1402'!M53,'سال 1403'!M53)</ns0:f>
        <ns0:v>0.1406974331249109</ns0:v>
      </ns0:c>
    </ns0:row>
    <ns0:row r="182" ht="28" customHeight="1">
      <ns0:c r="A182" s="71" t="inlineStr">
        <ns0:is>
          <ns0:t>کوهرت • کمینه کشش مارشالی ۱۲×۱۲ | B1</ns0:t>
        </ns0:is>
      </ns0:c>
      <ns0:c r="B182" s="1" t="n"/>
      <ns0:c r="C182" s="1" t="n"/>
      <ns0:c r="D182" s="1" t="n"/>
      <ns0:c r="E182" s="1" t="n"/>
      <ns0:c r="F182" s="1" t="n"/>
      <ns0:c r="G182" s="1" t="n"/>
      <ns0:c r="H182" s="1" t="n"/>
      <ns0:c r="I182" s="1" t="n"/>
      <ns0:c r="J182" s="1" t="n"/>
      <ns0:c r="K182" s="1" t="n"/>
      <ns0:c r="L182" s="1" t="n"/>
      <ns0:c r="M182" s="1" t="n"/>
    </ns0:row>
    <ns0:row r="183" ht="58" customHeight="1">
      <ns0:c r="A183" s="72" t="inlineStr">
        <ns0:is>
          <ns0:t>گروه تقاضا ↓ / گروه قیمت →</ns0:t>
        </ns0:is>
      </ns0:c>
      <ns0:c r="B183" s="72" t="inlineStr">
        <ns0:is>
          <ns0:t>برنج</ns0:t>
        </ns0:is>
      </ns0:c>
      <ns0:c r="C183" s="72" t="inlineStr">
        <ns0:is>
          <ns0:t>نان و غلات</ns0:t>
        </ns0:is>
      </ns0:c>
      <ns0:c r="D183" s="72" t="inlineStr">
        <ns0:is>
          <ns0:t>گوشت</ns0:t>
        </ns0:is>
      </ns0:c>
      <ns0:c r="E183" s="72" t="inlineStr">
        <ns0:is>
          <ns0:t>لبنیات و تخم‌مرغ</ns0:t>
        </ns0:is>
      </ns0:c>
      <ns0:c r="F183" s="72" t="inlineStr">
        <ns0:is>
          <ns0:t>روغن و چربی</ns0:t>
        </ns0:is>
      </ns0:c>
      <ns0:c r="G183" s="72" t="inlineStr">
        <ns0:is>
          <ns0:t>میوه</ns0:t>
        </ns0:is>
      </ns0:c>
      <ns0:c r="H183" s="72" t="inlineStr">
        <ns0:is>
          <ns0:t>سبزیجات و سیب‌زمینی</ns0:t>
        </ns0:is>
      </ns0:c>
      <ns0:c r="I183" s="72" t="inlineStr">
        <ns0:is>
          <ns0:t>حبوبات</ns0:t>
        </ns0:is>
      </ns0:c>
      <ns0:c r="J183" s="72" t="inlineStr">
        <ns0:is>
          <ns0:t>مغزها، خشکبار و خرما</ns0:t>
        </ns0:is>
      </ns0:c>
      <ns0:c r="K183" s="72" t="inlineStr">
        <ns0:is>
          <ns0:t>قند، شیرینی و تنقلات</ns0:t>
        </ns0:is>
      </ns0:c>
      <ns0:c r="L183" s="72" t="inlineStr">
        <ns0:is>
          <ns0:t>نوشیدنی بدون نوشابه</ns0:t>
        </ns0:is>
      </ns0:c>
      <ns0:c r="M183" s="72" t="inlineStr">
        <ns0:is>
          <ns0:t>ادویه و چاشنی</ns0:t>
        </ns0:is>
      </ns0:c>
    </ns0:row>
    <ns0:row r="184" ht="30" customHeight="1">
      <ns0:c r="A184" s="73" t="inlineStr">
        <ns0:is>
          <ns0:t>برنج</ns0:t>
        </ns0:is>
      </ns0:c>
      <ns0:c r="B184" s="74">
        <ns0:f>MIN('کوهرت 1392'!B26,'کوهرت 1393'!B26,'کوهرت 1394'!B26,'کوهرت 1397'!B26,'کوهرت 1398'!B26,'کوهرت 1399'!B26,'کوهرت 1400'!B26,'کوهرت 1401'!B26)</ns0:f>
        <ns0:v>-1.0810972997846677</ns0:v>
      </ns0:c>
      <ns0:c r="C184" s="75">
        <ns0:f>MIN('کوهرت 1392'!C26,'کوهرت 1393'!C26,'کوهرت 1394'!C26,'کوهرت 1397'!C26,'کوهرت 1398'!C26,'کوهرت 1399'!C26,'کوهرت 1400'!C26,'کوهرت 1401'!C26)</ns0:f>
        <ns0:v>-0.008504238326022765</ns0:v>
      </ns0:c>
      <ns0:c r="D184" s="75">
        <ns0:f>MIN('کوهرت 1392'!D26,'کوهرت 1393'!D26,'کوهرت 1394'!D26,'کوهرت 1397'!D26,'کوهرت 1398'!D26,'کوهرت 1399'!D26,'کوهرت 1400'!D26,'کوهرت 1401'!D26)</ns0:f>
        <ns0:v>-0.11292128513012442</ns0:v>
      </ns0:c>
      <ns0:c r="E184" s="75">
        <ns0:f>MIN('کوهرت 1392'!E26,'کوهرت 1393'!E26,'کوهرت 1394'!E26,'کوهرت 1397'!E26,'کوهرت 1398'!E26,'کوهرت 1399'!E26,'کوهرت 1400'!E26,'کوهرت 1401'!E26)</ns0:f>
        <ns0:v>0.01824096519691423</ns0:v>
      </ns0:c>
      <ns0:c r="F184" s="75">
        <ns0:f>MIN('کوهرت 1392'!F26,'کوهرت 1393'!F26,'کوهرت 1394'!F26,'کوهرت 1397'!F26,'کوهرت 1398'!F26,'کوهرت 1399'!F26,'کوهرت 1400'!F26,'کوهرت 1401'!F26)</ns0:f>
        <ns0:v>-0.041604004006460076</ns0:v>
      </ns0:c>
      <ns0:c r="G184" s="75">
        <ns0:f>MIN('کوهرت 1392'!G26,'کوهرت 1393'!G26,'کوهرت 1394'!G26,'کوهرت 1397'!G26,'کوهرت 1398'!G26,'کوهرت 1399'!G26,'کوهرت 1400'!G26,'کوهرت 1401'!G26)</ns0:f>
        <ns0:v>-0.08254958871918593</ns0:v>
      </ns0:c>
      <ns0:c r="H184" s="75">
        <ns0:f>MIN('کوهرت 1392'!H26,'کوهرت 1393'!H26,'کوهرت 1394'!H26,'کوهرت 1397'!H26,'کوهرت 1398'!H26,'کوهرت 1399'!H26,'کوهرت 1400'!H26,'کوهرت 1401'!H26)</ns0:f>
        <ns0:v>-0.09620570200391895</ns0:v>
      </ns0:c>
      <ns0:c r="I184" s="75">
        <ns0:f>MIN('کوهرت 1392'!I26,'کوهرت 1393'!I26,'کوهرت 1394'!I26,'کوهرت 1397'!I26,'کوهرت 1398'!I26,'کوهرت 1399'!I26,'کوهرت 1400'!I26,'کوهرت 1401'!I26)</ns0:f>
        <ns0:v>-0.03706825654579436</ns0:v>
      </ns0:c>
      <ns0:c r="J184" s="75">
        <ns0:f>MIN('کوهرت 1392'!J26,'کوهرت 1393'!J26,'کوهرت 1394'!J26,'کوهرت 1397'!J26,'کوهرت 1398'!J26,'کوهرت 1399'!J26,'کوهرت 1400'!J26,'کوهرت 1401'!J26)</ns0:f>
        <ns0:v>-0.01943002153349819</ns0:v>
      </ns0:c>
      <ns0:c r="K184" s="75">
        <ns0:f>MIN('کوهرت 1392'!K26,'کوهرت 1393'!K26,'کوهرت 1394'!K26,'کوهرت 1397'!K26,'کوهرت 1398'!K26,'کوهرت 1399'!K26,'کوهرت 1400'!K26,'کوهرت 1401'!K26)</ns0:f>
        <ns0:v>-0.09347423175790666</ns0:v>
      </ns0:c>
      <ns0:c r="L184" s="75">
        <ns0:f>MIN('کوهرت 1392'!L26,'کوهرت 1393'!L26,'کوهرت 1394'!L26,'کوهرت 1397'!L26,'کوهرت 1398'!L26,'کوهرت 1399'!L26,'کوهرت 1400'!L26,'کوهرت 1401'!L26)</ns0:f>
        <ns0:v>-0.12590752086024817</ns0:v>
      </ns0:c>
      <ns0:c r="M184" s="75">
        <ns0:f>MIN('کوهرت 1392'!M26,'کوهرت 1393'!M26,'کوهرت 1394'!M26,'کوهرت 1397'!M26,'کوهرت 1398'!M26,'کوهرت 1399'!M26,'کوهرت 1400'!M26,'کوهرت 1401'!M26)</ns0:f>
        <ns0:v>0.04380283528431447</ns0:v>
      </ns0:c>
    </ns0:row>
    <ns0:row r="185" ht="30" customHeight="1">
      <ns0:c r="A185" s="73" t="inlineStr">
        <ns0:is>
          <ns0:t>نان و غلات</ns0:t>
        </ns0:is>
      </ns0:c>
      <ns0:c r="B185" s="75">
        <ns0:f>MIN('کوهرت 1392'!B27,'کوهرت 1393'!B27,'کوهرت 1394'!B27,'کوهرت 1397'!B27,'کوهرت 1398'!B27,'کوهرت 1399'!B27,'کوهرت 1400'!B27,'کوهرت 1401'!B27)</ns0:f>
        <ns0:v>0.09573632731951218</ns0:v>
      </ns0:c>
      <ns0:c r="C185" s="74">
        <ns0:f>MIN('کوهرت 1392'!C27,'کوهرت 1393'!C27,'کوهرت 1394'!C27,'کوهرت 1397'!C27,'کوهرت 1398'!C27,'کوهرت 1399'!C27,'کوهرت 1400'!C27,'کوهرت 1401'!C27)</ns0:f>
        <ns0:v>-0.737264277304025</ns0:v>
      </ns0:c>
      <ns0:c r="D185" s="75">
        <ns0:f>MIN('کوهرت 1392'!D27,'کوهرت 1393'!D27,'کوهرت 1394'!D27,'کوهرت 1397'!D27,'کوهرت 1398'!D27,'کوهرت 1399'!D27,'کوهرت 1400'!D27,'کوهرت 1401'!D27)</ns0:f>
        <ns0:v>0.1519387999236341</ns0:v>
      </ns0:c>
      <ns0:c r="E185" s="75">
        <ns0:f>MIN('کوهرت 1392'!E27,'کوهرت 1393'!E27,'کوهرت 1394'!E27,'کوهرت 1397'!E27,'کوهرت 1398'!E27,'کوهرت 1399'!E27,'کوهرت 1400'!E27,'کوهرت 1401'!E27)</ns0:f>
        <ns0:v>-0.16898131149782117</ns0:v>
      </ns0:c>
      <ns0:c r="F185" s="75">
        <ns0:f>MIN('کوهرت 1392'!F27,'کوهرت 1393'!F27,'کوهرت 1394'!F27,'کوهرت 1397'!F27,'کوهرت 1398'!F27,'کوهرت 1399'!F27,'کوهرت 1400'!F27,'کوهرت 1401'!F27)</ns0:f>
        <ns0:v>-0.005884098518635062</ns0:v>
      </ns0:c>
      <ns0:c r="G185" s="75">
        <ns0:f>MIN('کوهرت 1392'!G27,'کوهرت 1393'!G27,'کوهرت 1394'!G27,'کوهرت 1397'!G27,'کوهرت 1398'!G27,'کوهرت 1399'!G27,'کوهرت 1400'!G27,'کوهرت 1401'!G27)</ns0:f>
        <ns0:v>0.02136382055140637</ns0:v>
      </ns0:c>
      <ns0:c r="H185" s="75">
        <ns0:f>MIN('کوهرت 1392'!H27,'کوهرت 1393'!H27,'کوهرت 1394'!H27,'کوهرت 1397'!H27,'کوهرت 1398'!H27,'کوهرت 1399'!H27,'کوهرت 1400'!H27,'کوهرت 1401'!H27)</ns0:f>
        <ns0:v>-0.11378933324921792</ns0:v>
      </ns0:c>
      <ns0:c r="I185" s="75">
        <ns0:f>MIN('کوهرت 1392'!I27,'کوهرت 1393'!I27,'کوهرت 1394'!I27,'کوهرت 1397'!I27,'کوهرت 1398'!I27,'کوهرت 1399'!I27,'کوهرت 1400'!I27,'کوهرت 1401'!I27)</ns0:f>
        <ns0:v>0.02293819479087547</ns0:v>
      </ns0:c>
      <ns0:c r="J185" s="75">
        <ns0:f>MIN('کوهرت 1392'!J27,'کوهرت 1393'!J27,'کوهرت 1394'!J27,'کوهرت 1397'!J27,'کوهرت 1398'!J27,'کوهرت 1399'!J27,'کوهرت 1400'!J27,'کوهرت 1401'!J27)</ns0:f>
        <ns0:v>0.02384291307543364</ns0:v>
      </ns0:c>
      <ns0:c r="K185" s="75">
        <ns0:f>MIN('کوهرت 1392'!K27,'کوهرت 1393'!K27,'کوهرت 1394'!K27,'کوهرت 1397'!K27,'کوهرت 1398'!K27,'کوهرت 1399'!K27,'کوهرت 1400'!K27,'کوهرت 1401'!K27)</ns0:f>
        <ns0:v>-0.008337988698521686</ns0:v>
      </ns0:c>
      <ns0:c r="L185" s="75">
        <ns0:f>MIN('کوهرت 1392'!L27,'کوهرت 1393'!L27,'کوهرت 1394'!L27,'کوهرت 1397'!L27,'کوهرت 1398'!L27,'کوهرت 1399'!L27,'کوهرت 1400'!L27,'کوهرت 1401'!L27)</ns0:f>
        <ns0:v>0.062179867802275766</ns0:v>
      </ns0:c>
      <ns0:c r="M185" s="75">
        <ns0:f>MIN('کوهرت 1392'!M27,'کوهرت 1393'!M27,'کوهرت 1394'!M27,'کوهرت 1397'!M27,'کوهرت 1398'!M27,'کوهرت 1399'!M27,'کوهرت 1400'!M27,'کوهرت 1401'!M27)</ns0:f>
        <ns0:v>-0.06287140733247294</ns0:v>
      </ns0:c>
    </ns0:row>
    <ns0:row r="186" ht="30" customHeight="1">
      <ns0:c r="A186" s="73" t="inlineStr">
        <ns0:is>
          <ns0:t>گوشت</ns0:t>
        </ns0:is>
      </ns0:c>
      <ns0:c r="B186" s="75">
        <ns0:f>MIN('کوهرت 1392'!B28,'کوهرت 1393'!B28,'کوهرت 1394'!B28,'کوهرت 1397'!B28,'کوهرت 1398'!B28,'کوهرت 1399'!B28,'کوهرت 1400'!B28,'کوهرت 1401'!B28)</ns0:f>
        <ns0:v>0.0010150986830454764</ns0:v>
      </ns0:c>
      <ns0:c r="C186" s="75">
        <ns0:f>MIN('کوهرت 1392'!C28,'کوهرت 1393'!C28,'کوهرت 1394'!C28,'کوهرت 1397'!C28,'کوهرت 1398'!C28,'کوهرت 1399'!C28,'کوهرت 1400'!C28,'کوهرت 1401'!C28)</ns0:f>
        <ns0:v>0.018556590390994148</ns0:v>
      </ns0:c>
      <ns0:c r="D186" s="74">
        <ns0:f>MIN('کوهرت 1392'!D28,'کوهرت 1393'!D28,'کوهرت 1394'!D28,'کوهرت 1397'!D28,'کوهرت 1398'!D28,'کوهرت 1399'!D28,'کوهرت 1400'!D28,'کوهرت 1401'!D28)</ns0:f>
        <ns0:v>-0.9391264380300539</ns0:v>
      </ns0:c>
      <ns0:c r="E186" s="75">
        <ns0:f>MIN('کوهرت 1392'!E28,'کوهرت 1393'!E28,'کوهرت 1394'!E28,'کوهرت 1397'!E28,'کوهرت 1398'!E28,'کوهرت 1399'!E28,'کوهرت 1400'!E28,'کوهرت 1401'!E28)</ns0:f>
        <ns0:v>-0.01960049009209079</ns0:v>
      </ns0:c>
      <ns0:c r="F186" s="75">
        <ns0:f>MIN('کوهرت 1392'!F28,'کوهرت 1393'!F28,'کوهرت 1394'!F28,'کوهرت 1397'!F28,'کوهرت 1398'!F28,'کوهرت 1399'!F28,'کوهرت 1400'!F28,'کوهرت 1401'!F28)</ns0:f>
        <ns0:v>-0.08700043884946838</ns0:v>
      </ns0:c>
      <ns0:c r="G186" s="75">
        <ns0:f>MIN('کوهرت 1392'!G28,'کوهرت 1393'!G28,'کوهرت 1394'!G28,'کوهرت 1397'!G28,'کوهرت 1398'!G28,'کوهرت 1399'!G28,'کوهرت 1400'!G28,'کوهرت 1401'!G28)</ns0:f>
        <ns0:v>-0.0061508608189054246</ns0:v>
      </ns0:c>
      <ns0:c r="H186" s="75">
        <ns0:f>MIN('کوهرت 1392'!H28,'کوهرت 1393'!H28,'کوهرت 1394'!H28,'کوهرت 1397'!H28,'کوهرت 1398'!H28,'کوهرت 1399'!H28,'کوهرت 1400'!H28,'کوهرت 1401'!H28)</ns0:f>
        <ns0:v>-0.09334301864775506</ns0:v>
      </ns0:c>
      <ns0:c r="I186" s="75">
        <ns0:f>MIN('کوهرت 1392'!I28,'کوهرت 1393'!I28,'کوهرت 1394'!I28,'کوهرت 1397'!I28,'کوهرت 1398'!I28,'کوهرت 1399'!I28,'کوهرت 1400'!I28,'کوهرت 1401'!I28)</ns0:f>
        <ns0:v>-0.021519148322181225</ns0:v>
      </ns0:c>
      <ns0:c r="J186" s="75">
        <ns0:f>MIN('کوهرت 1392'!J28,'کوهرت 1393'!J28,'کوهرت 1394'!J28,'کوهرت 1397'!J28,'کوهرت 1398'!J28,'کوهرت 1399'!J28,'کوهرت 1400'!J28,'کوهرت 1401'!J28)</ns0:f>
        <ns0:v>-0.04324197771701236</ns0:v>
      </ns0:c>
      <ns0:c r="K186" s="75">
        <ns0:f>MIN('کوهرت 1392'!K28,'کوهرت 1393'!K28,'کوهرت 1394'!K28,'کوهرت 1397'!K28,'کوهرت 1398'!K28,'کوهرت 1399'!K28,'کوهرت 1400'!K28,'کوهرت 1401'!K28)</ns0:f>
        <ns0:v>0.0006763122631121423</ns0:v>
      </ns0:c>
      <ns0:c r="L186" s="75">
        <ns0:f>MIN('کوهرت 1392'!L28,'کوهرت 1393'!L28,'کوهرت 1394'!L28,'کوهرت 1397'!L28,'کوهرت 1398'!L28,'کوهرت 1399'!L28,'کوهرت 1400'!L28,'کوهرت 1401'!L28)</ns0:f>
        <ns0:v>-0.048612393072432085</ns0:v>
      </ns0:c>
      <ns0:c r="M186" s="75">
        <ns0:f>MIN('کوهرت 1392'!M28,'کوهرت 1393'!M28,'کوهرت 1394'!M28,'کوهرت 1397'!M28,'کوهرت 1398'!M28,'کوهرت 1399'!M28,'کوهرت 1400'!M28,'کوهرت 1401'!M28)</ns0:f>
        <ns0:v>-0.04709894657180972</ns0:v>
      </ns0:c>
    </ns0:row>
    <ns0:row r="187" ht="30" customHeight="1">
      <ns0:c r="A187" s="73" t="inlineStr">
        <ns0:is>
          <ns0:t>لبنیات و تخم‌مرغ</ns0:t>
        </ns0:is>
      </ns0:c>
      <ns0:c r="B187" s="75">
        <ns0:f>MIN('کوهرت 1392'!B29,'کوهرت 1393'!B29,'کوهرت 1394'!B29,'کوهرت 1397'!B29,'کوهرت 1398'!B29,'کوهرت 1399'!B29,'کوهرت 1400'!B29,'کوهرت 1401'!B29)</ns0:f>
        <ns0:v>0.09444975620459231</ns0:v>
      </ns0:c>
      <ns0:c r="C187" s="75">
        <ns0:f>MIN('کوهرت 1392'!C29,'کوهرت 1393'!C29,'کوهرت 1394'!C29,'کوهرت 1397'!C29,'کوهرت 1398'!C29,'کوهرت 1399'!C29,'کوهرت 1400'!C29,'کوهرت 1401'!C29)</ns0:f>
        <ns0:v>-0.186660515250752</ns0:v>
      </ns0:c>
      <ns0:c r="D187" s="75">
        <ns0:f>MIN('کوهرت 1392'!D29,'کوهرت 1393'!D29,'کوهرت 1394'!D29,'کوهرت 1397'!D29,'کوهرت 1398'!D29,'کوهرت 1399'!D29,'کوهرت 1400'!D29,'کوهرت 1401'!D29)</ns0:f>
        <ns0:v>0.054375272486701424</ns0:v>
      </ns0:c>
      <ns0:c r="E187" s="74">
        <ns0:f>MIN('کوهرت 1392'!E29,'کوهرت 1393'!E29,'کوهرت 1394'!E29,'کوهرت 1397'!E29,'کوهرت 1398'!E29,'کوهرت 1399'!E29,'کوهرت 1400'!E29,'کوهرت 1401'!E29)</ns0:f>
        <ns0:v>-0.8201903148790003</ns0:v>
      </ns0:c>
      <ns0:c r="F187" s="75">
        <ns0:f>MIN('کوهرت 1392'!F29,'کوهرت 1393'!F29,'کوهرت 1394'!F29,'کوهرت 1397'!F29,'کوهرت 1398'!F29,'کوهرت 1399'!F29,'کوهرت 1400'!F29,'کوهرت 1401'!F29)</ns0:f>
        <ns0:v>0.0007678914129587451</ns0:v>
      </ns0:c>
      <ns0:c r="G187" s="75">
        <ns0:f>MIN('کوهرت 1392'!G29,'کوهرت 1393'!G29,'کوهرت 1394'!G29,'کوهرت 1397'!G29,'کوهرت 1398'!G29,'کوهرت 1399'!G29,'کوهرت 1400'!G29,'کوهرت 1401'!G29)</ns0:f>
        <ns0:v>0.030598138430812598</ns0:v>
      </ns0:c>
      <ns0:c r="H187" s="75">
        <ns0:f>MIN('کوهرت 1392'!H29,'کوهرت 1393'!H29,'کوهرت 1394'!H29,'کوهرت 1397'!H29,'کوهرت 1398'!H29,'کوهرت 1399'!H29,'کوهرت 1400'!H29,'کوهرت 1401'!H29)</ns0:f>
        <ns0:v>-0.16392928857414732</ns0:v>
      </ns0:c>
      <ns0:c r="I187" s="75">
        <ns0:f>MIN('کوهرت 1392'!I29,'کوهرت 1393'!I29,'کوهرت 1394'!I29,'کوهرت 1397'!I29,'کوهرت 1398'!I29,'کوهرت 1399'!I29,'کوهرت 1400'!I29,'کوهرت 1401'!I29)</ns0:f>
        <ns0:v>0.03965842215322427</ns0:v>
      </ns0:c>
      <ns0:c r="J187" s="75">
        <ns0:f>MIN('کوهرت 1392'!J29,'کوهرت 1393'!J29,'کوهرت 1394'!J29,'کوهرت 1397'!J29,'کوهرت 1398'!J29,'کوهرت 1399'!J29,'کوهرت 1400'!J29,'کوهرت 1401'!J29)</ns0:f>
        <ns0:v>0.0780619240708017</ns0:v>
      </ns0:c>
      <ns0:c r="K187" s="75">
        <ns0:f>MIN('کوهرت 1392'!K29,'کوهرت 1393'!K29,'کوهرت 1394'!K29,'کوهرت 1397'!K29,'کوهرت 1398'!K29,'کوهرت 1399'!K29,'کوهرت 1400'!K29,'کوهرت 1401'!K29)</ns0:f>
        <ns0:v>-0.04977926869387791</ns0:v>
      </ns0:c>
      <ns0:c r="L187" s="75">
        <ns0:f>MIN('کوهرت 1392'!L29,'کوهرت 1393'!L29,'کوهرت 1394'!L29,'کوهرت 1397'!L29,'کوهرت 1398'!L29,'کوهرت 1399'!L29,'کوهرت 1400'!L29,'کوهرت 1401'!L29)</ns0:f>
        <ns0:v>0.09793996688600021</ns0:v>
      </ns0:c>
      <ns0:c r="M187" s="75">
        <ns0:f>MIN('کوهرت 1392'!M29,'کوهرت 1393'!M29,'کوهرت 1394'!M29,'کوهرت 1397'!M29,'کوهرت 1398'!M29,'کوهرت 1399'!M29,'کوهرت 1400'!M29,'کوهرت 1401'!M29)</ns0:f>
        <ns0:v>-0.12561647408802454</ns0:v>
      </ns0:c>
    </ns0:row>
    <ns0:row r="188" ht="30" customHeight="1">
      <ns0:c r="A188" s="73" t="inlineStr">
        <ns0:is>
          <ns0:t>روغن و چربی</ns0:t>
        </ns0:is>
      </ns0:c>
      <ns0:c r="B188" s="75">
        <ns0:f>MIN('کوهرت 1392'!B30,'کوهرت 1393'!B30,'کوهرت 1394'!B30,'کوهرت 1397'!B30,'کوهرت 1398'!B30,'کوهرت 1399'!B30,'کوهرت 1400'!B30,'کوهرت 1401'!B30)</ns0:f>
        <ns0:v>0.0076983421092974074</ns0:v>
      </ns0:c>
      <ns0:c r="C188" s="75">
        <ns0:f>MIN('کوهرت 1392'!C30,'کوهرت 1393'!C30,'کوهرت 1394'!C30,'کوهرت 1397'!C30,'کوهرت 1398'!C30,'کوهرت 1399'!C30,'کوهرت 1400'!C30,'کوهرت 1401'!C30)</ns0:f>
        <ns0:v>-0.047728038663539196</ns0:v>
      </ns0:c>
      <ns0:c r="D188" s="75">
        <ns0:f>MIN('کوهرت 1392'!D30,'کوهرت 1393'!D30,'کوهرت 1394'!D30,'کوهرت 1397'!D30,'کوهرت 1398'!D30,'کوهرت 1399'!D30,'کوهرت 1400'!D30,'کوهرت 1401'!D30)</ns0:f>
        <ns0:v>-0.19476906216456613</ns0:v>
      </ns0:c>
      <ns0:c r="E188" s="75">
        <ns0:f>MIN('کوهرت 1392'!E30,'کوهرت 1393'!E30,'کوهرت 1394'!E30,'کوهرت 1397'!E30,'کوهرت 1398'!E30,'کوهرت 1399'!E30,'کوهرت 1400'!E30,'کوهرت 1401'!E30)</ns0:f>
        <ns0:v>0.12237274216796679</ns0:v>
      </ns0:c>
      <ns0:c r="F188" s="74">
        <ns0:f>MIN('کوهرت 1392'!F30,'کوهرت 1393'!F30,'کوهرت 1394'!F30,'کوهرت 1397'!F30,'کوهرت 1398'!F30,'کوهرت 1399'!F30,'کوهرت 1400'!F30,'کوهرت 1401'!F30)</ns0:f>
        <ns0:v>-0.5462899633958924</ns0:v>
      </ns0:c>
      <ns0:c r="G188" s="75">
        <ns0:f>MIN('کوهرت 1392'!G30,'کوهرت 1393'!G30,'کوهرت 1394'!G30,'کوهرت 1397'!G30,'کوهرت 1398'!G30,'کوهرت 1399'!G30,'کوهرت 1400'!G30,'کوهرت 1401'!G30)</ns0:f>
        <ns0:v>-0.04245830620672732</ns0:v>
      </ns0:c>
      <ns0:c r="H188" s="75">
        <ns0:f>MIN('کوهرت 1392'!H30,'کوهرت 1393'!H30,'کوهرت 1394'!H30,'کوهرت 1397'!H30,'کوهرت 1398'!H30,'کوهرت 1399'!H30,'کوهرت 1400'!H30,'کوهرت 1401'!H30)</ns0:f>
        <ns0:v>-0.0782345674979641</ns0:v>
      </ns0:c>
      <ns0:c r="I188" s="75">
        <ns0:f>MIN('کوهرت 1392'!I30,'کوهرت 1393'!I30,'کوهرت 1394'!I30,'کوهرت 1397'!I30,'کوهرت 1398'!I30,'کوهرت 1399'!I30,'کوهرت 1400'!I30,'کوهرت 1401'!I30)</ns0:f>
        <ns0:v>-0.10992866857852958</ns0:v>
      </ns0:c>
      <ns0:c r="J188" s="75">
        <ns0:f>MIN('کوهرت 1392'!J30,'کوهرت 1393'!J30,'کوهرت 1394'!J30,'کوهرت 1397'!J30,'کوهرت 1398'!J30,'کوهرت 1399'!J30,'کوهرت 1400'!J30,'کوهرت 1401'!J30)</ns0:f>
        <ns0:v>0.05147827611934262</ns0:v>
      </ns0:c>
      <ns0:c r="K188" s="75">
        <ns0:f>MIN('کوهرت 1392'!K30,'کوهرت 1393'!K30,'کوهرت 1394'!K30,'کوهرت 1397'!K30,'کوهرت 1398'!K30,'کوهرت 1399'!K30,'کوهرت 1400'!K30,'کوهرت 1401'!K30)</ns0:f>
        <ns0:v>-0.01383625490325558</ns0:v>
      </ns0:c>
      <ns0:c r="L188" s="75">
        <ns0:f>MIN('کوهرت 1392'!L30,'کوهرت 1393'!L30,'کوهرت 1394'!L30,'کوهرت 1397'!L30,'کوهرت 1398'!L30,'کوهرت 1399'!L30,'کوهرت 1400'!L30,'کوهرت 1401'!L30)</ns0:f>
        <ns0:v>-0.0819302930875389</ns0:v>
      </ns0:c>
      <ns0:c r="M188" s="75">
        <ns0:f>MIN('کوهرت 1392'!M30,'کوهرت 1393'!M30,'کوهرت 1394'!M30,'کوهرت 1397'!M30,'کوهرت 1398'!M30,'کوهرت 1399'!M30,'کوهرت 1400'!M30,'کوهرت 1401'!M30)</ns0:f>
        <ns0:v>-0.008988174144364787</ns0:v>
      </ns0:c>
    </ns0:row>
    <ns0:row r="189" ht="30" customHeight="1">
      <ns0:c r="A189" s="73" t="inlineStr">
        <ns0:is>
          <ns0:t>میوه</ns0:t>
        </ns0:is>
      </ns0:c>
      <ns0:c r="B189" s="75">
        <ns0:f>MIN('کوهرت 1392'!B31,'کوهرت 1393'!B31,'کوهرت 1394'!B31,'کوهرت 1397'!B31,'کوهرت 1398'!B31,'کوهرت 1399'!B31,'کوهرت 1400'!B31,'کوهرت 1401'!B31)</ns0:f>
        <ns0:v>-0.16492074361993853</ns0:v>
      </ns0:c>
      <ns0:c r="C189" s="75">
        <ns0:f>MIN('کوهرت 1392'!C31,'کوهرت 1393'!C31,'کوهرت 1394'!C31,'کوهرت 1397'!C31,'کوهرت 1398'!C31,'کوهرت 1399'!C31,'کوهرت 1400'!C31,'کوهرت 1401'!C31)</ns0:f>
        <ns0:v>-0.00517526812381769</ns0:v>
      </ns0:c>
      <ns0:c r="D189" s="75">
        <ns0:f>MIN('کوهرت 1392'!D31,'کوهرت 1393'!D31,'کوهرت 1394'!D31,'کوهرت 1397'!D31,'کوهرت 1398'!D31,'کوهرت 1399'!D31,'کوهرت 1400'!D31,'کوهرت 1401'!D31)</ns0:f>
        <ns0:v>-0.01615428076024041</ns0:v>
      </ns0:c>
      <ns0:c r="E189" s="75">
        <ns0:f>MIN('کوهرت 1392'!E31,'کوهرت 1393'!E31,'کوهرت 1394'!E31,'کوهرت 1397'!E31,'کوهرت 1398'!E31,'کوهرت 1399'!E31,'کوهرت 1400'!E31,'کوهرت 1401'!E31)</ns0:f>
        <ns0:v>0.045072785379211035</ns0:v>
      </ns0:c>
      <ns0:c r="F189" s="75">
        <ns0:f>MIN('کوهرت 1392'!F31,'کوهرت 1393'!F31,'کوهرت 1394'!F31,'کوهرت 1397'!F31,'کوهرت 1398'!F31,'کوهرت 1399'!F31,'کوهرت 1400'!F31,'کوهرت 1401'!F31)</ns0:f>
        <ns0:v>-0.09544493995258753</ns0:v>
      </ns0:c>
      <ns0:c r="G189" s="74">
        <ns0:f>MIN('کوهرت 1392'!G31,'کوهرت 1393'!G31,'کوهرت 1394'!G31,'کوهرت 1397'!G31,'کوهرت 1398'!G31,'کوهرت 1399'!G31,'کوهرت 1400'!G31,'کوهرت 1401'!G31)</ns0:f>
        <ns0:v>-1.0795667648953478</ns0:v>
      </ns0:c>
      <ns0:c r="H189" s="75">
        <ns0:f>MIN('کوهرت 1392'!H31,'کوهرت 1393'!H31,'کوهرت 1394'!H31,'کوهرت 1397'!H31,'کوهرت 1398'!H31,'کوهرت 1399'!H31,'کوهرت 1400'!H31,'کوهرت 1401'!H31)</ns0:f>
        <ns0:v>0.11787300145095449</ns0:v>
      </ns0:c>
      <ns0:c r="I189" s="75">
        <ns0:f>MIN('کوهرت 1392'!I31,'کوهرت 1393'!I31,'کوهرت 1394'!I31,'کوهرت 1397'!I31,'کوهرت 1398'!I31,'کوهرت 1399'!I31,'کوهرت 1400'!I31,'کوهرت 1401'!I31)</ns0:f>
        <ns0:v>-0.05202148471983465</ns0:v>
      </ns0:c>
      <ns0:c r="J189" s="75">
        <ns0:f>MIN('کوهرت 1392'!J31,'کوهرت 1393'!J31,'کوهرت 1394'!J31,'کوهرت 1397'!J31,'کوهرت 1398'!J31,'کوهرت 1399'!J31,'کوهرت 1400'!J31,'کوهرت 1401'!J31)</ns0:f>
        <ns0:v>-0.20083640420032106</ns0:v>
      </ns0:c>
      <ns0:c r="K189" s="75">
        <ns0:f>MIN('کوهرت 1392'!K31,'کوهرت 1393'!K31,'کوهرت 1394'!K31,'کوهرت 1397'!K31,'کوهرت 1398'!K31,'کوهرت 1399'!K31,'کوهرت 1400'!K31,'کوهرت 1401'!K31)</ns0:f>
        <ns0:v>0.04668284097832674</ns0:v>
      </ns0:c>
      <ns0:c r="L189" s="75">
        <ns0:f>MIN('کوهرت 1392'!L31,'کوهرت 1393'!L31,'کوهرت 1394'!L31,'کوهرت 1397'!L31,'کوهرت 1398'!L31,'کوهرت 1399'!L31,'کوهرت 1400'!L31,'کوهرت 1401'!L31)</ns0:f>
        <ns0:v>-0.03219146295843575</ns0:v>
      </ns0:c>
      <ns0:c r="M189" s="75">
        <ns0:f>MIN('کوهرت 1392'!M31,'کوهرت 1393'!M31,'کوهرت 1394'!M31,'کوهرت 1397'!M31,'کوهرت 1398'!M31,'کوهرت 1399'!M31,'کوهرت 1400'!M31,'کوهرت 1401'!M31)</ns0:f>
        <ns0:v>0.025830995476304394</ns0:v>
      </ns0:c>
    </ns0:row>
    <ns0:row r="190" ht="30" customHeight="1">
      <ns0:c r="A190" s="73" t="inlineStr">
        <ns0:is>
          <ns0:t>سبزیجات و سیب‌زمینی</ns0:t>
        </ns0:is>
      </ns0:c>
      <ns0:c r="B190" s="75">
        <ns0:f>MIN('کوهرت 1392'!B32,'کوهرت 1393'!B32,'کوهرت 1394'!B32,'کوهرت 1397'!B32,'کوهرت 1398'!B32,'کوهرت 1399'!B32,'کوهرت 1400'!B32,'کوهرت 1401'!B32)</ns0:f>
        <ns0:v>-0.013577722234818792</ns0:v>
      </ns0:c>
      <ns0:c r="C190" s="75">
        <ns0:f>MIN('کوهرت 1392'!C32,'کوهرت 1393'!C32,'کوهرت 1394'!C32,'کوهرت 1397'!C32,'کوهرت 1398'!C32,'کوهرت 1399'!C32,'کوهرت 1400'!C32,'کوهرت 1401'!C32)</ns0:f>
        <ns0:v>-0.13712356487269697</ns0:v>
      </ns0:c>
      <ns0:c r="D190" s="75">
        <ns0:f>MIN('کوهرت 1392'!D32,'کوهرت 1393'!D32,'کوهرت 1394'!D32,'کوهرت 1397'!D32,'کوهرت 1398'!D32,'کوهرت 1399'!D32,'کوهرت 1400'!D32,'کوهرت 1401'!D32)</ns0:f>
        <ns0:v>-0.0892753867507343</ns0:v>
      </ns0:c>
      <ns0:c r="E190" s="75">
        <ns0:f>MIN('کوهرت 1392'!E32,'کوهرت 1393'!E32,'کوهرت 1394'!E32,'کوهرت 1397'!E32,'کوهرت 1398'!E32,'کوهرت 1399'!E32,'کوهرت 1400'!E32,'کوهرت 1401'!E32)</ns0:f>
        <ns0:v>-0.16483959397801387</ns0:v>
      </ns0:c>
      <ns0:c r="F190" s="75">
        <ns0:f>MIN('کوهرت 1392'!F32,'کوهرت 1393'!F32,'کوهرت 1394'!F32,'کوهرت 1397'!F32,'کوهرت 1398'!F32,'کوهرت 1399'!F32,'کوهرت 1400'!F32,'کوهرت 1401'!F32)</ns0:f>
        <ns0:v>-0.0036959442069348005</ns0:v>
      </ns0:c>
      <ns0:c r="G190" s="75">
        <ns0:f>MIN('کوهرت 1392'!G32,'کوهرت 1393'!G32,'کوهرت 1394'!G32,'کوهرت 1397'!G32,'کوهرت 1398'!G32,'کوهرت 1399'!G32,'کوهرت 1400'!G32,'کوهرت 1401'!G32)</ns0:f>
        <ns0:v>0.044940273792331634</ns0:v>
      </ns0:c>
      <ns0:c r="H190" s="74">
        <ns0:f>MIN('کوهرت 1392'!H32,'کوهرت 1393'!H32,'کوهرت 1394'!H32,'کوهرت 1397'!H32,'کوهرت 1398'!H32,'کوهرت 1399'!H32,'کوهرت 1400'!H32,'کوهرت 1401'!H32)</ns0:f>
        <ns0:v>-0.5052069974981963</ns0:v>
      </ns0:c>
      <ns0:c r="I190" s="75">
        <ns0:f>MIN('کوهرت 1392'!I32,'کوهرت 1393'!I32,'کوهرت 1394'!I32,'کوهرت 1397'!I32,'کوهرت 1398'!I32,'کوهرت 1399'!I32,'کوهرت 1400'!I32,'کوهرت 1401'!I32)</ns0:f>
        <ns0:v>-0.0004710693872870455</ns0:v>
      </ns0:c>
      <ns0:c r="J190" s="75">
        <ns0:f>MIN('کوهرت 1392'!J32,'کوهرت 1393'!J32,'کوهرت 1394'!J32,'کوهرت 1397'!J32,'کوهرت 1398'!J32,'کوهرت 1399'!J32,'کوهرت 1400'!J32,'کوهرت 1401'!J32)</ns0:f>
        <ns0:v>0.009509756503880761</ns0:v>
      </ns0:c>
      <ns0:c r="K190" s="75">
        <ns0:f>MIN('کوهرت 1392'!K32,'کوهرت 1393'!K32,'کوهرت 1394'!K32,'کوهرت 1397'!K32,'کوهرت 1398'!K32,'کوهرت 1399'!K32,'کوهرت 1400'!K32,'کوهرت 1401'!K32)</ns0:f>
        <ns0:v>-0.08371362221687381</ns0:v>
      </ns0:c>
      <ns0:c r="L190" s="75">
        <ns0:f>MIN('کوهرت 1392'!L32,'کوهرت 1393'!L32,'کوهرت 1394'!L32,'کوهرت 1397'!L32,'کوهرت 1398'!L32,'کوهرت 1399'!L32,'کوهرت 1400'!L32,'کوهرت 1401'!L32)</ns0:f>
        <ns0:v>0.054113793806905126</ns0:v>
      </ns0:c>
      <ns0:c r="M190" s="75">
        <ns0:f>MIN('کوهرت 1392'!M32,'کوهرت 1393'!M32,'کوهرت 1394'!M32,'کوهرت 1397'!M32,'کوهرت 1398'!M32,'کوهرت 1399'!M32,'کوهرت 1400'!M32,'کوهرت 1401'!M32)</ns0:f>
        <ns0:v>-0.030504203627647646</ns0:v>
      </ns0:c>
    </ns0:row>
    <ns0:row r="191" ht="30" customHeight="1">
      <ns0:c r="A191" s="73" t="inlineStr">
        <ns0:is>
          <ns0:t>حبوبات</ns0:t>
        </ns0:is>
      </ns0:c>
      <ns0:c r="B191" s="75">
        <ns0:f>MIN('کوهرت 1392'!B33,'کوهرت 1393'!B33,'کوهرت 1394'!B33,'کوهرت 1397'!B33,'کوهرت 1398'!B33,'کوهرت 1399'!B33,'کوهرت 1400'!B33,'کوهرت 1401'!B33)</ns0:f>
        <ns0:v>-0.06914207281241609</ns0:v>
      </ns0:c>
      <ns0:c r="C191" s="75">
        <ns0:f>MIN('کوهرت 1392'!C33,'کوهرت 1393'!C33,'کوهرت 1394'!C33,'کوهرت 1397'!C33,'کوهرت 1398'!C33,'کوهرت 1399'!C33,'کوهرت 1400'!C33,'کوهرت 1401'!C33)</ns0:f>
        <ns0:v>0.01159598377398672</ns0:v>
      </ns0:c>
      <ns0:c r="D191" s="75">
        <ns0:f>MIN('کوهرت 1392'!D33,'کوهرت 1393'!D33,'کوهرت 1394'!D33,'کوهرت 1397'!D33,'کوهرت 1398'!D33,'کوهرت 1399'!D33,'کوهرت 1400'!D33,'کوهرت 1401'!D33)</ns0:f>
        <ns0:v>0.04131064312350583</ns0:v>
      </ns0:c>
      <ns0:c r="E191" s="75">
        <ns0:f>MIN('کوهرت 1392'!E33,'کوهرت 1393'!E33,'کوهرت 1394'!E33,'کوهرت 1397'!E33,'کوهرت 1398'!E33,'کوهرت 1399'!E33,'کوهرت 1400'!E33,'کوهرت 1401'!E33)</ns0:f>
        <ns0:v>0.24725591348466644</ns0:v>
      </ns0:c>
      <ns0:c r="F191" s="75">
        <ns0:f>MIN('کوهرت 1392'!F33,'کوهرت 1393'!F33,'کوهرت 1394'!F33,'کوهرت 1397'!F33,'کوهرت 1398'!F33,'کوهرت 1399'!F33,'کوهرت 1400'!F33,'کوهرت 1401'!F33)</ns0:f>
        <ns0:v>-0.10404765708334254</ns0:v>
      </ns0:c>
      <ns0:c r="G191" s="75">
        <ns0:f>MIN('کوهرت 1392'!G33,'کوهرت 1393'!G33,'کوهرت 1394'!G33,'کوهرت 1397'!G33,'کوهرت 1398'!G33,'کوهرت 1399'!G33,'کوهرت 1400'!G33,'کوهرت 1401'!G33)</ns0:f>
        <ns0:v>-0.060889601320699704</ns0:v>
      </ns0:c>
      <ns0:c r="H191" s="75">
        <ns0:f>MIN('کوهرت 1392'!H33,'کوهرت 1393'!H33,'کوهرت 1394'!H33,'کوهرت 1397'!H33,'کوهرت 1398'!H33,'کوهرت 1399'!H33,'کوهرت 1400'!H33,'کوهرت 1401'!H33)</ns0:f>
        <ns0:v>-0.13057959057288912</ns0:v>
      </ns0:c>
      <ns0:c r="I191" s="74">
        <ns0:f>MIN('کوهرت 1392'!I33,'کوهرت 1393'!I33,'کوهرت 1394'!I33,'کوهرت 1397'!I33,'کوهرت 1398'!I33,'کوهرت 1399'!I33,'کوهرت 1400'!I33,'کوهرت 1401'!I33)</ns0:f>
        <ns0:v>-0.7039544103221083</ns0:v>
      </ns0:c>
      <ns0:c r="J191" s="75">
        <ns0:f>MIN('کوهرت 1392'!J33,'کوهرت 1393'!J33,'کوهرت 1394'!J33,'کوهرت 1397'!J33,'کوهرت 1398'!J33,'کوهرت 1399'!J33,'کوهرت 1400'!J33,'کوهرت 1401'!J33)</ns0:f>
        <ns0:v>-0.12631218249062967</ns0:v>
      </ns0:c>
      <ns0:c r="K191" s="75">
        <ns0:f>MIN('کوهرت 1392'!K33,'کوهرت 1393'!K33,'کوهرت 1394'!K33,'کوهرت 1397'!K33,'کوهرت 1398'!K33,'کوهرت 1399'!K33,'کوهرت 1400'!K33,'کوهرت 1401'!K33)</ns0:f>
        <ns0:v>-0.1767367385755288</ns0:v>
      </ns0:c>
      <ns0:c r="L191" s="75">
        <ns0:f>MIN('کوهرت 1392'!L33,'کوهرت 1393'!L33,'کوهرت 1394'!L33,'کوهرت 1397'!L33,'کوهرت 1398'!L33,'کوهرت 1399'!L33,'کوهرت 1400'!L33,'کوهرت 1401'!L33)</ns0:f>
        <ns0:v>0.02828498787286145</ns0:v>
      </ns0:c>
      <ns0:c r="M191" s="75">
        <ns0:f>MIN('کوهرت 1392'!M33,'کوهرت 1393'!M33,'کوهرت 1394'!M33,'کوهرت 1397'!M33,'کوهرت 1398'!M33,'کوهرت 1399'!M33,'کوهرت 1400'!M33,'کوهرت 1401'!M33)</ns0:f>
        <ns0:v>0.003239569879671995</ns0:v>
      </ns0:c>
    </ns0:row>
    <ns0:row r="192" ht="30" customHeight="1">
      <ns0:c r="A192" s="73" t="inlineStr">
        <ns0:is>
          <ns0:t>مغزها، خشکبار و خرما</ns0:t>
        </ns0:is>
      </ns0:c>
      <ns0:c r="B192" s="75">
        <ns0:f>MIN('کوهرت 1392'!B34,'کوهرت 1393'!B34,'کوهرت 1394'!B34,'کوهرت 1397'!B34,'کوهرت 1398'!B34,'کوهرت 1399'!B34,'کوهرت 1400'!B34,'کوهرت 1401'!B34)</ns0:f>
        <ns0:v>-0.17573772529550813</ns0:v>
      </ns0:c>
      <ns0:c r="C192" s="75">
        <ns0:f>MIN('کوهرت 1392'!C34,'کوهرت 1393'!C34,'کوهرت 1394'!C34,'کوهرت 1397'!C34,'کوهرت 1398'!C34,'کوهرت 1399'!C34,'کوهرت 1400'!C34,'کوهرت 1401'!C34)</ns0:f>
        <ns0:v>-0.09237974216160795</ns0:v>
      </ns0:c>
      <ns0:c r="D192" s="75">
        <ns0:f>MIN('کوهرت 1392'!D34,'کوهرت 1393'!D34,'کوهرت 1394'!D34,'کوهرت 1397'!D34,'کوهرت 1398'!D34,'کوهرت 1399'!D34,'کوهرت 1400'!D34,'کوهرت 1401'!D34)</ns0:f>
        <ns0:v>-0.4737943368946155</ns0:v>
      </ns0:c>
      <ns0:c r="E192" s="75">
        <ns0:f>MIN('کوهرت 1392'!E34,'کوهرت 1393'!E34,'کوهرت 1394'!E34,'کوهرت 1397'!E34,'کوهرت 1398'!E34,'کوهرت 1399'!E34,'کوهرت 1400'!E34,'کوهرت 1401'!E34)</ns0:f>
        <ns0:v>0.07282955487740897</ns0:v>
      </ns0:c>
      <ns0:c r="F192" s="75">
        <ns0:f>MIN('کوهرت 1392'!F34,'کوهرت 1393'!F34,'کوهرت 1394'!F34,'کوهرت 1397'!F34,'کوهرت 1398'!F34,'کوهرت 1399'!F34,'کوهرت 1400'!F34,'کوهرت 1401'!F34)</ns0:f>
        <ns0:v>-0.01525207493008974</ns0:v>
      </ns0:c>
      <ns0:c r="G192" s="75">
        <ns0:f>MIN('کوهرت 1392'!G34,'کوهرت 1393'!G34,'کوهرت 1394'!G34,'کوهرت 1397'!G34,'کوهرت 1398'!G34,'کوهرت 1399'!G34,'کوهرت 1400'!G34,'کوهرت 1401'!G34)</ns0:f>
        <ns0:v>-0.2657165420621774</ns0:v>
      </ns0:c>
      <ns0:c r="H192" s="75">
        <ns0:f>MIN('کوهرت 1392'!H34,'کوهرت 1393'!H34,'کوهرت 1394'!H34,'کوهرت 1397'!H34,'کوهرت 1398'!H34,'کوهرت 1399'!H34,'کوهرت 1400'!H34,'کوهرت 1401'!H34)</ns0:f>
        <ns0:v>-0.16168928796952645</ns0:v>
      </ns0:c>
      <ns0:c r="I192" s="75">
        <ns0:f>MIN('کوهرت 1392'!I34,'کوهرت 1393'!I34,'کوهرت 1394'!I34,'کوهرت 1397'!I34,'کوهرت 1398'!I34,'کوهرت 1399'!I34,'کوهرت 1400'!I34,'کوهرت 1401'!I34)</ns0:f>
        <ns0:v>-0.18629508408322984</ns0:v>
      </ns0:c>
      <ns0:c r="J192" s="74">
        <ns0:f>MIN('کوهرت 1392'!J34,'کوهرت 1393'!J34,'کوهرت 1394'!J34,'کوهرت 1397'!J34,'کوهرت 1398'!J34,'کوهرت 1399'!J34,'کوهرت 1400'!J34,'کوهرت 1401'!J34)</ns0:f>
        <ns0:v>-0.9949795701030532</ns0:v>
      </ns0:c>
      <ns0:c r="K192" s="75">
        <ns0:f>MIN('کوهرت 1392'!K34,'کوهرت 1393'!K34,'کوهرت 1394'!K34,'کوهرت 1397'!K34,'کوهرت 1398'!K34,'کوهرت 1399'!K34,'کوهرت 1400'!K34,'کوهرت 1401'!K34)</ns0:f>
        <ns0:v>-0.13055306961220578</ns0:v>
      </ns0:c>
      <ns0:c r="L192" s="75">
        <ns0:f>MIN('کوهرت 1392'!L34,'کوهرت 1393'!L34,'کوهرت 1394'!L34,'کوهرت 1397'!L34,'کوهرت 1398'!L34,'کوهرت 1399'!L34,'کوهرت 1400'!L34,'کوهرت 1401'!L34)</ns0:f>
        <ns0:v>-0.21728920899509824</ns0:v>
      </ns0:c>
      <ns0:c r="M192" s="75">
        <ns0:f>MIN('کوهرت 1392'!M34,'کوهرت 1393'!M34,'کوهرت 1394'!M34,'کوهرت 1397'!M34,'کوهرت 1398'!M34,'کوهرت 1399'!M34,'کوهرت 1400'!M34,'کوهرت 1401'!M34)</ns0:f>
        <ns0:v>0.033437784216953835</ns0:v>
      </ns0:c>
    </ns0:row>
    <ns0:row r="193" ht="30" customHeight="1">
      <ns0:c r="A193" s="73" t="inlineStr">
        <ns0:is>
          <ns0:t>قند، شیرینی و تنقلات</ns0:t>
        </ns0:is>
      </ns0:c>
      <ns0:c r="B193" s="75">
        <ns0:f>MIN('کوهرت 1392'!B35,'کوهرت 1393'!B35,'کوهرت 1394'!B35,'کوهرت 1397'!B35,'کوهرت 1398'!B35,'کوهرت 1399'!B35,'کوهرت 1400'!B35,'کوهرت 1401'!B35)</ns0:f>
        <ns0:v>-0.1335426084600595</ns0:v>
      </ns0:c>
      <ns0:c r="C193" s="75">
        <ns0:f>MIN('کوهرت 1392'!C35,'کوهرت 1393'!C35,'کوهرت 1394'!C35,'کوهرت 1397'!C35,'کوهرت 1398'!C35,'کوهرت 1399'!C35,'کوهرت 1400'!C35,'کوهرت 1401'!C35)</ns0:f>
        <ns0:v>-0.06896235907461004</ns0:v>
      </ns0:c>
      <ns0:c r="D193" s="75">
        <ns0:f>MIN('کوهرت 1392'!D35,'کوهرت 1393'!D35,'کوهرت 1394'!D35,'کوهرت 1397'!D35,'کوهرت 1398'!D35,'کوهرت 1399'!D35,'کوهرت 1400'!D35,'کوهرت 1401'!D35)</ns0:f>
        <ns0:v>-0.0055030060780313</ns0:v>
      </ns0:c>
      <ns0:c r="E193" s="75">
        <ns0:f>MIN('کوهرت 1392'!E35,'کوهرت 1393'!E35,'کوهرت 1394'!E35,'کوهرت 1397'!E35,'کوهرت 1398'!E35,'کوهرت 1399'!E35,'کوهرت 1400'!E35,'کوهرت 1401'!E35)</ns0:f>
        <ns0:v>-0.11643579677102874</ns0:v>
      </ns0:c>
      <ns0:c r="F193" s="75">
        <ns0:f>MIN('کوهرت 1392'!F35,'کوهرت 1393'!F35,'کوهرت 1394'!F35,'کوهرت 1397'!F35,'کوهرت 1398'!F35,'کوهرت 1399'!F35,'کوهرت 1400'!F35,'کوهرت 1401'!F35)</ns0:f>
        <ns0:v>-0.020144261340325785</ns0:v>
      </ns0:c>
      <ns0:c r="G193" s="75">
        <ns0:f>MIN('کوهرت 1392'!G35,'کوهرت 1393'!G35,'کوهرت 1394'!G35,'کوهرت 1397'!G35,'کوهرت 1398'!G35,'کوهرت 1399'!G35,'کوهرت 1400'!G35,'کوهرت 1401'!G35)</ns0:f>
        <ns0:v>0.04387087292787106</ns0:v>
      </ns0:c>
      <ns0:c r="H193" s="75">
        <ns0:f>MIN('کوهرت 1392'!H35,'کوهرت 1393'!H35,'کوهرت 1394'!H35,'کوهرت 1397'!H35,'کوهرت 1398'!H35,'کوهرت 1399'!H35,'کوهرت 1400'!H35,'کوهرت 1401'!H35)</ns0:f>
        <ns0:v>-0.1147781435735082</ns0:v>
      </ns0:c>
      <ns0:c r="I193" s="75">
        <ns0:f>MIN('کوهرت 1392'!I35,'کوهرت 1393'!I35,'کوهرت 1394'!I35,'کوهرت 1397'!I35,'کوهرت 1398'!I35,'کوهرت 1399'!I35,'کوهرت 1400'!I35,'کوهرت 1401'!I35)</ns0:f>
        <ns0:v>-0.04315715686790133</ns0:v>
      </ns0:c>
      <ns0:c r="J193" s="75">
        <ns0:f>MIN('کوهرت 1392'!J35,'کوهرت 1393'!J35,'کوهرت 1394'!J35,'کوهرت 1397'!J35,'کوهرت 1398'!J35,'کوهرت 1399'!J35,'کوهرت 1400'!J35,'کوهرت 1401'!J35)</ns0:f>
        <ns0:v>-0.026909729519830564</ns0:v>
      </ns0:c>
      <ns0:c r="K193" s="74">
        <ns0:f>MIN('کوهرت 1392'!K35,'کوهرت 1393'!K35,'کوهرت 1394'!K35,'کوهرت 1397'!K35,'کوهرت 1398'!K35,'کوهرت 1399'!K35,'کوهرت 1400'!K35,'کوهرت 1401'!K35)</ns0:f>
        <ns0:v>-0.5829439748681895</ns0:v>
      </ns0:c>
      <ns0:c r="L193" s="75">
        <ns0:f>MIN('کوهرت 1392'!L35,'کوهرت 1393'!L35,'کوهرت 1394'!L35,'کوهرت 1397'!L35,'کوهرت 1398'!L35,'کوهرت 1399'!L35,'کوهرت 1400'!L35,'کوهرت 1401'!L35)</ns0:f>
        <ns0:v>-0.06585417288290538</ns0:v>
      </ns0:c>
      <ns0:c r="M193" s="75">
        <ns0:f>MIN('کوهرت 1392'!M35,'کوهرت 1393'!M35,'کوهرت 1394'!M35,'کوهرت 1397'!M35,'کوهرت 1398'!M35,'کوهرت 1399'!M35,'کوهرت 1400'!M35,'کوهرت 1401'!M35)</ns0:f>
        <ns0:v>-0.004527108389559715</ns0:v>
      </ns0:c>
    </ns0:row>
    <ns0:row r="194" ht="30" customHeight="1">
      <ns0:c r="A194" s="73" t="inlineStr">
        <ns0:is>
          <ns0:t>نوشیدنی بدون نوشابه</ns0:t>
        </ns0:is>
      </ns0:c>
      <ns0:c r="B194" s="75">
        <ns0:f>MIN('کوهرت 1392'!B36,'کوهرت 1393'!B36,'کوهرت 1394'!B36,'کوهرت 1397'!B36,'کوهرت 1398'!B36,'کوهرت 1399'!B36,'کوهرت 1400'!B36,'کوهرت 1401'!B36)</ns0:f>
        <ns0:v>-0.2553653820750916</ns0:v>
      </ns0:c>
      <ns0:c r="C194" s="75">
        <ns0:f>MIN('کوهرت 1392'!C36,'کوهرت 1393'!C36,'کوهرت 1394'!C36,'کوهرت 1397'!C36,'کوهرت 1398'!C36,'کوهرت 1399'!C36,'کوهرت 1400'!C36,'کوهرت 1401'!C36)</ns0:f>
        <ns0:v>0.15735591820834083</ns0:v>
      </ns0:c>
      <ns0:c r="D194" s="75">
        <ns0:f>MIN('کوهرت 1392'!D36,'کوهرت 1393'!D36,'کوهرت 1394'!D36,'کوهرت 1397'!D36,'کوهرت 1398'!D36,'کوهرت 1399'!D36,'کوهرت 1400'!D36,'کوهرت 1401'!D36)</ns0:f>
        <ns0:v>-0.07371266139228369</ns0:v>
      </ns0:c>
      <ns0:c r="E194" s="75">
        <ns0:f>MIN('کوهرت 1392'!E36,'کوهرت 1393'!E36,'کوهرت 1394'!E36,'کوهرت 1397'!E36,'کوهرت 1398'!E36,'کوهرت 1399'!E36,'کوهرت 1400'!E36,'کوهرت 1401'!E36)</ns0:f>
        <ns0:v>0.26526861920878475</ns0:v>
      </ns0:c>
      <ns0:c r="F194" s="75">
        <ns0:f>MIN('کوهرت 1392'!F36,'کوهرت 1393'!F36,'کوهرت 1394'!F36,'کوهرت 1397'!F36,'کوهرت 1398'!F36,'کوهرت 1399'!F36,'کوهرت 1400'!F36,'کوهرت 1401'!F36)</ns0:f>
        <ns0:v>-0.10168599743058931</ns0:v>
      </ns0:c>
      <ns0:c r="G194" s="75">
        <ns0:f>MIN('کوهرت 1392'!G36,'کوهرت 1393'!G36,'کوهرت 1394'!G36,'کوهرت 1397'!G36,'کوهرت 1398'!G36,'کوهرت 1399'!G36,'کوهرت 1400'!G36,'کوهرت 1401'!G36)</ns0:f>
        <ns0:v>-0.03309091399359674</ns0:v>
      </ns0:c>
      <ns0:c r="H194" s="75">
        <ns0:f>MIN('کوهرت 1392'!H36,'کوهرت 1393'!H36,'کوهرت 1394'!H36,'کوهرت 1397'!H36,'کوهرت 1398'!H36,'کوهرت 1399'!H36,'کوهرت 1400'!H36,'کوهرت 1401'!H36)</ns0:f>
        <ns0:v>0.15778542681172528</ns0:v>
      </ns0:c>
      <ns0:c r="I194" s="75">
        <ns0:f>MIN('کوهرت 1392'!I36,'کوهرت 1393'!I36,'کوهرت 1394'!I36,'کوهرت 1397'!I36,'کوهرت 1398'!I36,'کوهرت 1399'!I36,'کوهرت 1400'!I36,'کوهرت 1401'!I36)</ns0:f>
        <ns0:v>0.0712607518954518</ns0:v>
      </ns0:c>
      <ns0:c r="J194" s="75">
        <ns0:f>MIN('کوهرت 1392'!J36,'کوهرت 1393'!J36,'کوهرت 1394'!J36,'کوهرت 1397'!J36,'کوهرت 1398'!J36,'کوهرت 1399'!J36,'کوهرت 1400'!J36,'کوهرت 1401'!J36)</ns0:f>
        <ns0:v>-0.14063195083994584</ns0:v>
      </ns0:c>
      <ns0:c r="K194" s="75">
        <ns0:f>MIN('کوهرت 1392'!K36,'کوهرت 1393'!K36,'کوهرت 1394'!K36,'کوهرت 1397'!K36,'کوهرت 1398'!K36,'کوهرت 1399'!K36,'کوهرت 1400'!K36,'کوهرت 1401'!K36)</ns0:f>
        <ns0:v>-0.21854533101665655</ns0:v>
      </ns0:c>
      <ns0:c r="L194" s="74">
        <ns0:f>MIN('کوهرت 1392'!L36,'کوهرت 1393'!L36,'کوهرت 1394'!L36,'کوهرت 1397'!L36,'کوهرت 1398'!L36,'کوهرت 1399'!L36,'کوهرت 1400'!L36,'کوهرت 1401'!L36)</ns0:f>
        <ns0:v>-0.8838161295774736</ns0:v>
      </ns0:c>
      <ns0:c r="M194" s="75">
        <ns0:f>MIN('کوهرت 1392'!M36,'کوهرت 1393'!M36,'کوهرت 1394'!M36,'کوهرت 1397'!M36,'کوهرت 1398'!M36,'کوهرت 1399'!M36,'کوهرت 1400'!M36,'کوهرت 1401'!M36)</ns0:f>
        <ns0:v>0.0647103666994869</ns0:v>
      </ns0:c>
    </ns0:row>
    <ns0:row r="195" ht="30" customHeight="1">
      <ns0:c r="A195" s="73" t="inlineStr">
        <ns0:is>
          <ns0:t>ادویه و چاشنی</ns0:t>
        </ns0:is>
      </ns0:c>
      <ns0:c r="B195" s="75">
        <ns0:f>MIN('کوهرت 1392'!B37,'کوهرت 1393'!B37,'کوهرت 1394'!B37,'کوهرت 1397'!B37,'کوهرت 1398'!B37,'کوهرت 1399'!B37,'کوهرت 1400'!B37,'کوهرت 1401'!B37)</ns0:f>
        <ns0:v>0.21082253658153413</ns0:v>
      </ns0:c>
      <ns0:c r="C195" s="75">
        <ns0:f>MIN('کوهرت 1392'!C37,'کوهرت 1393'!C37,'کوهرت 1394'!C37,'کوهرت 1397'!C37,'کوهرت 1398'!C37,'کوهرت 1399'!C37,'کوهرت 1400'!C37,'کوهرت 1401'!C37)</ns0:f>
        <ns0:v>-0.1551108280014902</ns0:v>
      </ns0:c>
      <ns0:c r="D195" s="75">
        <ns0:f>MIN('کوهرت 1392'!D37,'کوهرت 1393'!D37,'کوهرت 1394'!D37,'کوهرت 1397'!D37,'کوهرت 1398'!D37,'کوهرت 1399'!D37,'کوهرت 1400'!D37,'کوهرت 1401'!D37)</ns0:f>
        <ns0:v>-0.18990459186008074</ns0:v>
      </ns0:c>
      <ns0:c r="E195" s="75">
        <ns0:f>MIN('کوهرت 1392'!E37,'کوهرت 1393'!E37,'کوهرت 1394'!E37,'کوهرت 1397'!E37,'کوهرت 1398'!E37,'کوهرت 1399'!E37,'کوهرت 1400'!E37,'کوهرت 1401'!E37)</ns0:f>
        <ns0:v>-0.3727517835588731</ns0:v>
      </ns0:c>
      <ns0:c r="F195" s="75">
        <ns0:f>MIN('کوهرت 1392'!F37,'کوهرت 1393'!F37,'کوهرت 1394'!F37,'کوهرت 1397'!F37,'کوهرت 1398'!F37,'کوهرت 1399'!F37,'کوهرت 1400'!F37,'کوهرت 1401'!F37)</ns0:f>
        <ns0:v>-0.05314241214790457</ns0:v>
      </ns0:c>
      <ns0:c r="G195" s="75">
        <ns0:f>MIN('کوهرت 1392'!G37,'کوهرت 1393'!G37,'کوهرت 1394'!G37,'کوهرت 1397'!G37,'کوهرت 1398'!G37,'کوهرت 1399'!G37,'کوهرت 1400'!G37,'کوهرت 1401'!G37)</ns0:f>
        <ns0:v>0.05434351800450704</ns0:v>
      </ns0:c>
      <ns0:c r="H195" s="75">
        <ns0:f>MIN('کوهرت 1392'!H37,'کوهرت 1393'!H37,'کوهرت 1394'!H37,'کوهرت 1397'!H37,'کوهرت 1398'!H37,'کوهرت 1399'!H37,'کوهرت 1400'!H37,'کوهرت 1401'!H37)</ns0:f>
        <ns0:v>-0.11812720990512764</ns0:v>
      </ns0:c>
      <ns0:c r="I195" s="75">
        <ns0:f>MIN('کوهرت 1392'!I37,'کوهرت 1393'!I37,'کوهرت 1394'!I37,'کوهرت 1397'!I37,'کوهرت 1398'!I37,'کوهرت 1399'!I37,'کوهرت 1400'!I37,'کوهرت 1401'!I37)</ns0:f>
        <ns0:v>-0.038565651279297286</ns0:v>
      </ns0:c>
      <ns0:c r="J195" s="75">
        <ns0:f>MIN('کوهرت 1392'!J37,'کوهرت 1393'!J37,'کوهرت 1394'!J37,'کوهرت 1397'!J37,'کوهرت 1398'!J37,'کوهرت 1399'!J37,'کوهرت 1400'!J37,'کوهرت 1401'!J37)</ns0:f>
        <ns0:v>0.17611306325904114</ns0:v>
      </ns0:c>
      <ns0:c r="K195" s="75">
        <ns0:f>MIN('کوهرت 1392'!K37,'کوهرت 1393'!K37,'کوهرت 1394'!K37,'کوهرت 1397'!K37,'کوهرت 1398'!K37,'کوهرت 1399'!K37,'کوهرت 1400'!K37,'کوهرت 1401'!K37)</ns0:f>
        <ns0:v>-0.04687829763073358</ns0:v>
      </ns0:c>
      <ns0:c r="L195" s="75">
        <ns0:f>MIN('کوهرت 1392'!L37,'کوهرت 1393'!L37,'کوهرت 1394'!L37,'کوهرت 1397'!L37,'کوهرت 1398'!L37,'کوهرت 1399'!L37,'کوهرت 1400'!L37,'کوهرت 1401'!L37)</ns0:f>
        <ns0:v>0.015459024433221284</ns0:v>
      </ns0:c>
      <ns0:c r="M195" s="74">
        <ns0:f>MIN('کوهرت 1392'!M37,'کوهرت 1393'!M37,'کوهرت 1394'!M37,'کوهرت 1397'!M37,'کوهرت 1398'!M37,'کوهرت 1399'!M37,'کوهرت 1400'!M37,'کوهرت 1401'!M37)</ns0:f>
        <ns0:v>-0.4707817126182501</ns0:v>
      </ns0:c>
    </ns0:row>
    <ns0:row r="199" ht="28" customHeight="1">
      <ns0:c r="A199" s="71" t="inlineStr">
        <ns0:is>
          <ns0:t>کوهرت • بیشینه کشش مارشالی ۱۲×۱۲ | B1</ns0:t>
        </ns0:is>
      </ns0:c>
      <ns0:c r="B199" s="1" t="n"/>
      <ns0:c r="C199" s="1" t="n"/>
      <ns0:c r="D199" s="1" t="n"/>
      <ns0:c r="E199" s="1" t="n"/>
      <ns0:c r="F199" s="1" t="n"/>
      <ns0:c r="G199" s="1" t="n"/>
      <ns0:c r="H199" s="1" t="n"/>
      <ns0:c r="I199" s="1" t="n"/>
      <ns0:c r="J199" s="1" t="n"/>
      <ns0:c r="K199" s="1" t="n"/>
      <ns0:c r="L199" s="1" t="n"/>
      <ns0:c r="M199" s="1" t="n"/>
    </ns0:row>
    <ns0:row r="200" ht="58" customHeight="1">
      <ns0:c r="A200" s="72" t="inlineStr">
        <ns0:is>
          <ns0:t>گروه تقاضا ↓ / گروه قیمت →</ns0:t>
        </ns0:is>
      </ns0:c>
      <ns0:c r="B200" s="72" t="inlineStr">
        <ns0:is>
          <ns0:t>برنج</ns0:t>
        </ns0:is>
      </ns0:c>
      <ns0:c r="C200" s="72" t="inlineStr">
        <ns0:is>
          <ns0:t>نان و غلات</ns0:t>
        </ns0:is>
      </ns0:c>
      <ns0:c r="D200" s="72" t="inlineStr">
        <ns0:is>
          <ns0:t>گوشت</ns0:t>
        </ns0:is>
      </ns0:c>
      <ns0:c r="E200" s="72" t="inlineStr">
        <ns0:is>
          <ns0:t>لبنیات و تخم‌مرغ</ns0:t>
        </ns0:is>
      </ns0:c>
      <ns0:c r="F200" s="72" t="inlineStr">
        <ns0:is>
          <ns0:t>روغن و چربی</ns0:t>
        </ns0:is>
      </ns0:c>
      <ns0:c r="G200" s="72" t="inlineStr">
        <ns0:is>
          <ns0:t>میوه</ns0:t>
        </ns0:is>
      </ns0:c>
      <ns0:c r="H200" s="72" t="inlineStr">
        <ns0:is>
          <ns0:t>سبزیجات و سیب‌زمینی</ns0:t>
        </ns0:is>
      </ns0:c>
      <ns0:c r="I200" s="72" t="inlineStr">
        <ns0:is>
          <ns0:t>حبوبات</ns0:t>
        </ns0:is>
      </ns0:c>
      <ns0:c r="J200" s="72" t="inlineStr">
        <ns0:is>
          <ns0:t>مغزها، خشکبار و خرما</ns0:t>
        </ns0:is>
      </ns0:c>
      <ns0:c r="K200" s="72" t="inlineStr">
        <ns0:is>
          <ns0:t>قند، شیرینی و تنقلات</ns0:t>
        </ns0:is>
      </ns0:c>
      <ns0:c r="L200" s="72" t="inlineStr">
        <ns0:is>
          <ns0:t>نوشیدنی بدون نوشابه</ns0:t>
        </ns0:is>
      </ns0:c>
      <ns0:c r="M200" s="72" t="inlineStr">
        <ns0:is>
          <ns0:t>ادویه و چاشنی</ns0:t>
        </ns0:is>
      </ns0:c>
    </ns0:row>
    <ns0:row r="201" ht="30" customHeight="1">
      <ns0:c r="A201" s="73" t="inlineStr">
        <ns0:is>
          <ns0:t>برنج</ns0:t>
        </ns0:is>
      </ns0:c>
      <ns0:c r="B201" s="74">
        <ns0:f>MAX('کوهرت 1392'!B26,'کوهرت 1393'!B26,'کوهرت 1394'!B26,'کوهرت 1397'!B26,'کوهرت 1398'!B26,'کوهرت 1399'!B26,'کوهرت 1400'!B26,'کوهرت 1401'!B26)</ns0:f>
        <ns0:v>-1.076157984330216</ns0:v>
      </ns0:c>
      <ns0:c r="C201" s="75">
        <ns0:f>MAX('کوهرت 1392'!C26,'کوهرت 1393'!C26,'کوهرت 1394'!C26,'کوهرت 1397'!C26,'کوهرت 1398'!C26,'کوهرت 1399'!C26,'کوهرت 1400'!C26,'کوهرت 1401'!C26)</ns0:f>
        <ns0:v>0.03392863111148803</ns0:v>
      </ns0:c>
      <ns0:c r="D201" s="75">
        <ns0:f>MAX('کوهرت 1392'!D26,'کوهرت 1393'!D26,'کوهرت 1394'!D26,'کوهرت 1397'!D26,'کوهرت 1398'!D26,'کوهرت 1399'!D26,'کوهرت 1400'!D26,'کوهرت 1401'!D26)</ns0:f>
        <ns0:v>-0.09202112668095425</ns0:v>
      </ns0:c>
      <ns0:c r="E201" s="75">
        <ns0:f>MAX('کوهرت 1392'!E26,'کوهرت 1393'!E26,'کوهرت 1394'!E26,'کوهرت 1397'!E26,'کوهرت 1398'!E26,'کوهرت 1399'!E26,'کوهرت 1400'!E26,'کوهرت 1401'!E26)</ns0:f>
        <ns0:v>0.026997389333036678</ns0:v>
      </ns0:c>
      <ns0:c r="F201" s="75">
        <ns0:f>MAX('کوهرت 1392'!F26,'کوهرت 1393'!F26,'کوهرت 1394'!F26,'کوهرت 1397'!F26,'کوهرت 1398'!F26,'کوهرت 1399'!F26,'کوهرت 1400'!F26,'کوهرت 1401'!F26)</ns0:f>
        <ns0:v>-0.032035620979295666</ns0:v>
      </ns0:c>
      <ns0:c r="G201" s="75">
        <ns0:f>MAX('کوهرت 1392'!G26,'کوهرت 1393'!G26,'کوهرت 1394'!G26,'کوهرت 1397'!G26,'کوهرت 1398'!G26,'کوهرت 1399'!G26,'کوهرت 1400'!G26,'کوهرت 1401'!G26)</ns0:f>
        <ns0:v>-0.07546180402423075</ns0:v>
      </ns0:c>
      <ns0:c r="H201" s="75">
        <ns0:f>MAX('کوهرت 1392'!H26,'کوهرت 1393'!H26,'کوهرت 1394'!H26,'کوهرت 1397'!H26,'کوهرت 1398'!H26,'کوهرت 1399'!H26,'کوهرت 1400'!H26,'کوهرت 1401'!H26)</ns0:f>
        <ns0:v>-0.08435492481949196</ns0:v>
      </ns0:c>
      <ns0:c r="I201" s="75">
        <ns0:f>MAX('کوهرت 1392'!I26,'کوهرت 1393'!I26,'کوهرت 1394'!I26,'کوهرت 1397'!I26,'کوهرت 1398'!I26,'کوهرت 1399'!I26,'کوهرت 1400'!I26,'کوهرت 1401'!I26)</ns0:f>
        <ns0:v>-0.02750445532143117</ns0:v>
      </ns0:c>
      <ns0:c r="J201" s="75">
        <ns0:f>MAX('کوهرت 1392'!J26,'کوهرت 1393'!J26,'کوهرت 1394'!J26,'کوهرت 1397'!J26,'کوهرت 1398'!J26,'کوهرت 1399'!J26,'کوهرت 1400'!J26,'کوهرت 1401'!J26)</ns0:f>
        <ns0:v>-0.00947976799197995</ns0:v>
      </ns0:c>
      <ns0:c r="K201" s="75">
        <ns0:f>MAX('کوهرت 1392'!K26,'کوهرت 1393'!K26,'کوهرت 1394'!K26,'کوهرت 1397'!K26,'کوهرت 1398'!K26,'کوهرت 1399'!K26,'کوهرت 1400'!K26,'کوهرت 1401'!K26)</ns0:f>
        <ns0:v>-0.08290765907226282</ns0:v>
      </ns0:c>
      <ns0:c r="L201" s="75">
        <ns0:f>MAX('کوهرت 1392'!L26,'کوهرت 1393'!L26,'کوهرت 1394'!L26,'کوهرت 1397'!L26,'کوهرت 1398'!L26,'کوهرت 1399'!L26,'کوهرت 1400'!L26,'کوهرت 1401'!L26)</ns0:f>
        <ns0:v>-0.11686491460031809</ns0:v>
      </ns0:c>
      <ns0:c r="M201" s="75">
        <ns0:f>MAX('کوهرت 1392'!M26,'کوهرت 1393'!M26,'کوهرت 1394'!M26,'کوهرت 1397'!M26,'کوهرت 1398'!M26,'کوهرت 1399'!M26,'کوهرت 1400'!M26,'کوهرت 1401'!M26)</ns0:f>
        <ns0:v>0.052527537830459554</ns0:v>
      </ns0:c>
    </ns0:row>
    <ns0:row r="202" ht="30" customHeight="1">
      <ns0:c r="A202" s="73" t="inlineStr">
        <ns0:is>
          <ns0:t>نان و غلات</ns0:t>
        </ns0:is>
      </ns0:c>
      <ns0:c r="B202" s="75">
        <ns0:f>MAX('کوهرت 1392'!B27,'کوهرت 1393'!B27,'کوهرت 1394'!B27,'کوهرت 1397'!B27,'کوهرت 1398'!B27,'کوهرت 1399'!B27,'کوهرت 1400'!B27,'کوهرت 1401'!B27)</ns0:f>
        <ns0:v>0.18473546878086886</ns0:v>
      </ns0:c>
      <ns0:c r="C202" s="74">
        <ns0:f>MAX('کوهرت 1392'!C27,'کوهرت 1393'!C27,'کوهرت 1394'!C27,'کوهرت 1397'!C27,'کوهرت 1398'!C27,'کوهرت 1399'!C27,'کوهرت 1400'!C27,'کوهرت 1401'!C27)</ns0:f>
        <ns0:v>-0.5201133209447968</ns0:v>
      </ns0:c>
      <ns0:c r="D202" s="75">
        <ns0:f>MAX('کوهرت 1392'!D27,'کوهرت 1393'!D27,'کوهرت 1394'!D27,'کوهرت 1397'!D27,'کوهرت 1398'!D27,'کوهرت 1399'!D27,'کوهرت 1400'!D27,'کوهرت 1401'!D27)</ns0:f>
        <ns0:v>0.38265461787363364</ns0:v>
      </ns0:c>
      <ns0:c r="E202" s="75">
        <ns0:f>MAX('کوهرت 1392'!E27,'کوهرت 1393'!E27,'کوهرت 1394'!E27,'کوهرت 1397'!E27,'کوهرت 1398'!E27,'کوهرت 1399'!E27,'کوهرت 1400'!E27,'کوهرت 1401'!E27)</ns0:f>
        <ns0:v>-0.10618852969909434</ns0:v>
      </ns0:c>
      <ns0:c r="F202" s="75">
        <ns0:f>MAX('کوهرت 1392'!F27,'کوهرت 1393'!F27,'کوهرت 1394'!F27,'کوهرت 1397'!F27,'کوهرت 1398'!F27,'کوهرت 1399'!F27,'کوهرت 1400'!F27,'کوهرت 1401'!F27)</ns0:f>
        <ns0:v>0.033760683062270015</ns0:v>
      </ns0:c>
      <ns0:c r="G202" s="75">
        <ns0:f>MAX('کوهرت 1392'!G27,'کوهرت 1393'!G27,'کوهرت 1394'!G27,'کوهرت 1397'!G27,'کوهرت 1398'!G27,'کوهرت 1399'!G27,'کوهرت 1400'!G27,'کوهرت 1401'!G27)</ns0:f>
        <ns0:v>0.05523291239057748</ns0:v>
      </ns0:c>
      <ns0:c r="H202" s="75">
        <ns0:f>MAX('کوهرت 1392'!H27,'کوهرت 1393'!H27,'کوهرت 1394'!H27,'کوهرت 1397'!H27,'کوهرت 1398'!H27,'کوهرت 1399'!H27,'کوهرت 1400'!H27,'کوهرت 1401'!H27)</ns0:f>
        <ns0:v>-0.08087264443470238</ns0:v>
      </ns0:c>
      <ns0:c r="I202" s="75">
        <ns0:f>MAX('کوهرت 1392'!I27,'کوهرت 1393'!I27,'کوهرت 1394'!I27,'کوهرت 1397'!I27,'کوهرت 1398'!I27,'کوهرت 1399'!I27,'کوهرت 1400'!I27,'کوهرت 1401'!I27)</ns0:f>
        <ns0:v>0.0651424944616123</ns0:v>
      </ns0:c>
      <ns0:c r="J202" s="75">
        <ns0:f>MAX('کوهرت 1392'!J27,'کوهرت 1393'!J27,'کوهرت 1394'!J27,'کوهرت 1397'!J27,'کوهرت 1398'!J27,'کوهرت 1399'!J27,'کوهرت 1400'!J27,'کوهرت 1401'!J27)</ns0:f>
        <ns0:v>0.032236246787428785</ns0:v>
      </ns0:c>
      <ns0:c r="K202" s="75">
        <ns0:f>MAX('کوهرت 1392'!K27,'کوهرت 1393'!K27,'کوهرت 1394'!K27,'کوهرت 1397'!K27,'کوهرت 1398'!K27,'کوهرت 1399'!K27,'کوهرت 1400'!K27,'کوهرت 1401'!K27)</ns0:f>
        <ns0:v>0.0011657921310248706</ns0:v>
      </ns0:c>
      <ns0:c r="L202" s="75">
        <ns0:f>MAX('کوهرت 1392'!L27,'کوهرت 1393'!L27,'کوهرت 1394'!L27,'کوهرت 1397'!L27,'کوهرت 1398'!L27,'کوهرت 1399'!L27,'کوهرت 1400'!L27,'کوهرت 1401'!L27)</ns0:f>
        <ns0:v>0.14051147176029838</ns0:v>
      </ns0:c>
      <ns0:c r="M202" s="75">
        <ns0:f>MAX('کوهرت 1392'!M27,'کوهرت 1393'!M27,'کوهرت 1394'!M27,'کوهرت 1397'!M27,'کوهرت 1398'!M27,'کوهرت 1399'!M27,'کوهرت 1400'!M27,'کوهرت 1401'!M27)</ns0:f>
        <ns0:v>-0.036025801656311474</ns0:v>
      </ns0:c>
    </ns0:row>
    <ns0:row r="203" ht="30" customHeight="1">
      <ns0:c r="A203" s="73" t="inlineStr">
        <ns0:is>
          <ns0:t>گوشت</ns0:t>
        </ns0:is>
      </ns0:c>
      <ns0:c r="B203" s="75">
        <ns0:f>MAX('کوهرت 1392'!B28,'کوهرت 1393'!B28,'کوهرت 1394'!B28,'کوهرت 1397'!B28,'کوهرت 1398'!B28,'کوهرت 1399'!B28,'کوهرت 1400'!B28,'کوهرت 1401'!B28)</ns0:f>
        <ns0:v>0.003284334759857313</ns0:v>
      </ns0:c>
      <ns0:c r="C203" s="75">
        <ns0:f>MAX('کوهرت 1392'!C28,'کوهرت 1393'!C28,'کوهرت 1394'!C28,'کوهرت 1397'!C28,'کوهرت 1398'!C28,'کوهرت 1399'!C28,'کوهرت 1400'!C28,'کوهرت 1401'!C28)</ns0:f>
        <ns0:v>0.025536013802301343</ns0:v>
      </ns0:c>
      <ns0:c r="D203" s="74">
        <ns0:f>MAX('کوهرت 1392'!D28,'کوهرت 1393'!D28,'کوهرت 1394'!D28,'کوهرت 1397'!D28,'کوهرت 1398'!D28,'کوهرت 1399'!D28,'کوهرت 1400'!D28,'کوهرت 1401'!D28)</ns0:f>
        <ns0:v>-0.9084348521229744</ns0:v>
      </ns0:c>
      <ns0:c r="E203" s="75">
        <ns0:f>MAX('کوهرت 1392'!E28,'کوهرت 1393'!E28,'کوهرت 1394'!E28,'کوهرت 1397'!E28,'کوهرت 1398'!E28,'کوهرت 1399'!E28,'کوهرت 1400'!E28,'کوهرت 1401'!E28)</ns0:f>
        <ns0:v>-0.012501402580627666</ns0:v>
      </ns0:c>
      <ns0:c r="F203" s="75">
        <ns0:f>MAX('کوهرت 1392'!F28,'کوهرت 1393'!F28,'کوهرت 1394'!F28,'کوهرت 1397'!F28,'کوهرت 1398'!F28,'کوهرت 1399'!F28,'کوهرت 1400'!F28,'کوهرت 1401'!F28)</ns0:f>
        <ns0:v>-0.07956100577642936</ns0:v>
      </ns0:c>
      <ns0:c r="G203" s="75">
        <ns0:f>MAX('کوهرت 1392'!G28,'کوهرت 1393'!G28,'کوهرت 1394'!G28,'کوهرت 1397'!G28,'کوهرت 1398'!G28,'کوهرت 1399'!G28,'کوهرت 1400'!G28,'کوهرت 1401'!G28)</ns0:f>
        <ns0:v>-0.004445780835052937</ns0:v>
      </ns0:c>
      <ns0:c r="H203" s="75">
        <ns0:f>MAX('کوهرت 1392'!H28,'کوهرت 1393'!H28,'کوهرت 1394'!H28,'کوهرت 1397'!H28,'کوهرت 1398'!H28,'کوهرت 1399'!H28,'کوهرت 1400'!H28,'کوهرت 1401'!H28)</ns0:f>
        <ns0:v>-0.08820758021107981</ns0:v>
      </ns0:c>
      <ns0:c r="I203" s="75">
        <ns0:f>MAX('کوهرت 1392'!I28,'کوهرت 1393'!I28,'کوهرت 1394'!I28,'کوهرت 1397'!I28,'کوهرت 1398'!I28,'کوهرت 1399'!I28,'کوهرت 1400'!I28,'کوهرت 1401'!I28)</ns0:f>
        <ns0:v>-0.019524332568619598</ns0:v>
      </ns0:c>
      <ns0:c r="J203" s="75">
        <ns0:f>MAX('کوهرت 1392'!J28,'کوهرت 1393'!J28,'کوهرت 1394'!J28,'کوهرت 1397'!J28,'کوهرت 1398'!J28,'کوهرت 1399'!J28,'کوهرت 1400'!J28,'کوهرت 1401'!J28)</ns0:f>
        <ns0:v>-0.03341338357263982</ns0:v>
      </ns0:c>
      <ns0:c r="K203" s="75">
        <ns0:f>MAX('کوهرت 1392'!K28,'کوهرت 1393'!K28,'کوهرت 1394'!K28,'کوهرت 1397'!K28,'کوهرت 1398'!K28,'کوهرت 1399'!K28,'کوهرت 1400'!K28,'کوهرت 1401'!K28)</ns0:f>
        <ns0:v>0.00503338282412057</ns0:v>
      </ns0:c>
      <ns0:c r="L203" s="75">
        <ns0:f>MAX('کوهرت 1392'!L28,'کوهرت 1393'!L28,'کوهرت 1394'!L28,'کوهرت 1397'!L28,'کوهرت 1398'!L28,'کوهرت 1399'!L28,'کوهرت 1400'!L28,'کوهرت 1401'!L28)</ns0:f>
        <ns0:v>-0.043414330676884064</ns0:v>
      </ns0:c>
      <ns0:c r="M203" s="75">
        <ns0:f>MAX('کوهرت 1392'!M28,'کوهرت 1393'!M28,'کوهرت 1394'!M28,'کوهرت 1397'!M28,'کوهرت 1398'!M28,'کوهرت 1399'!M28,'کوهرت 1400'!M28,'کوهرت 1401'!M28)</ns0:f>
        <ns0:v>-0.040225493382287515</ns0:v>
      </ns0:c>
    </ns0:row>
    <ns0:row r="204" ht="30" customHeight="1">
      <ns0:c r="A204" s="73" t="inlineStr">
        <ns0:is>
          <ns0:t>لبنیات و تخم‌مرغ</ns0:t>
        </ns0:is>
      </ns0:c>
      <ns0:c r="B204" s="75">
        <ns0:f>MAX('کوهرت 1392'!B29,'کوهرت 1393'!B29,'کوهرت 1394'!B29,'کوهرت 1397'!B29,'کوهرت 1398'!B29,'کوهرت 1399'!B29,'کوهرت 1400'!B29,'کوهرت 1401'!B29)</ns0:f>
        <ns0:v>0.11307389212820557</ns0:v>
      </ns0:c>
      <ns0:c r="C204" s="75">
        <ns0:f>MAX('کوهرت 1392'!C29,'کوهرت 1393'!C29,'کوهرت 1394'!C29,'کوهرت 1397'!C29,'کوهرت 1398'!C29,'کوهرت 1399'!C29,'کوهرت 1400'!C29,'کوهرت 1401'!C29)</ns0:f>
        <ns0:v>-0.16197511176343268</ns0:v>
      </ns0:c>
      <ns0:c r="D204" s="75">
        <ns0:f>MAX('کوهرت 1392'!D29,'کوهرت 1393'!D29,'کوهرت 1394'!D29,'کوهرت 1397'!D29,'کوهرت 1398'!D29,'کوهرت 1399'!D29,'کوهرت 1400'!D29,'کوهرت 1401'!D29)</ns0:f>
        <ns0:v>0.06277197500331975</ns0:v>
      </ns0:c>
      <ns0:c r="E204" s="74">
        <ns0:f>MAX('کوهرت 1392'!E29,'کوهرت 1393'!E29,'کوهرت 1394'!E29,'کوهرت 1397'!E29,'کوهرت 1398'!E29,'کوهرت 1399'!E29,'کوهرت 1400'!E29,'کوهرت 1401'!E29)</ns0:f>
        <ns0:v>-0.7901877254309883</ns0:v>
      </ns0:c>
      <ns0:c r="F204" s="75">
        <ns0:f>MAX('کوهرت 1392'!F29,'کوهرت 1393'!F29,'کوهرت 1394'!F29,'کوهرت 1397'!F29,'کوهرت 1398'!F29,'کوهرت 1399'!F29,'کوهرت 1400'!F29,'کوهرت 1401'!F29)</ns0:f>
        <ns0:v>0.0050973417170686</ns0:v>
      </ns0:c>
      <ns0:c r="G204" s="75">
        <ns0:f>MAX('کوهرت 1392'!G29,'کوهرت 1393'!G29,'کوهرت 1394'!G29,'کوهرت 1397'!G29,'کوهرت 1398'!G29,'کوهرت 1399'!G29,'کوهرت 1400'!G29,'کوهرت 1401'!G29)</ns0:f>
        <ns0:v>0.03649641330422374</ns0:v>
      </ns0:c>
      <ns0:c r="H204" s="75">
        <ns0:f>MAX('کوهرت 1392'!H29,'کوهرت 1393'!H29,'کوهرت 1394'!H29,'کوهرت 1397'!H29,'کوهرت 1398'!H29,'کوهرت 1399'!H29,'کوهرت 1400'!H29,'کوهرت 1401'!H29)</ns0:f>
        <ns0:v>-0.13370206318458122</ns0:v>
      </ns0:c>
      <ns0:c r="I204" s="75">
        <ns0:f>MAX('کوهرت 1392'!I29,'کوهرت 1393'!I29,'کوهرت 1394'!I29,'کوهرت 1397'!I29,'کوهرت 1398'!I29,'کوهرت 1399'!I29,'کوهرت 1400'!I29,'کوهرت 1401'!I29)</ns0:f>
        <ns0:v>0.046111018968936435</ns0:v>
      </ns0:c>
      <ns0:c r="J204" s="75">
        <ns0:f>MAX('کوهرت 1392'!J29,'کوهرت 1393'!J29,'کوهرت 1394'!J29,'کوهرت 1397'!J29,'کوهرت 1398'!J29,'کوهرت 1399'!J29,'کوهرت 1400'!J29,'کوهرت 1401'!J29)</ns0:f>
        <ns0:v>0.09397895739743169</ns0:v>
      </ns0:c>
      <ns0:c r="K204" s="75">
        <ns0:f>MAX('کوهرت 1392'!K29,'کوهرت 1393'!K29,'کوهرت 1394'!K29,'کوهرت 1397'!K29,'کوهرت 1398'!K29,'کوهرت 1399'!K29,'کوهرت 1400'!K29,'کوهرت 1401'!K29)</ns0:f>
        <ns0:v>-0.04131833376783031</ns0:v>
      </ns0:c>
      <ns0:c r="L204" s="75">
        <ns0:f>MAX('کوهرت 1392'!L29,'کوهرت 1393'!L29,'کوهرت 1394'!L29,'کوهرت 1397'!L29,'کوهرت 1398'!L29,'کوهرت 1399'!L29,'کوهرت 1400'!L29,'کوهرت 1401'!L29)</ns0:f>
        <ns0:v>0.11515529995609965</ns0:v>
      </ns0:c>
      <ns0:c r="M204" s="75">
        <ns0:f>MAX('کوهرت 1392'!M29,'کوهرت 1393'!M29,'کوهرت 1394'!M29,'کوهرت 1397'!M29,'کوهرت 1398'!M29,'کوهرت 1399'!M29,'کوهرت 1400'!M29,'کوهرت 1401'!M29)</ns0:f>
        <ns0:v>-0.10585292629813077</ns0:v>
      </ns0:c>
    </ns0:row>
    <ns0:row r="205" ht="30" customHeight="1">
      <ns0:c r="A205" s="73" t="inlineStr">
        <ns0:is>
          <ns0:t>روغن و چربی</ns0:t>
        </ns0:is>
      </ns0:c>
      <ns0:c r="B205" s="75">
        <ns0:f>MAX('کوهرت 1392'!B30,'کوهرت 1393'!B30,'کوهرت 1394'!B30,'کوهرت 1397'!B30,'کوهرت 1398'!B30,'کوهرت 1399'!B30,'کوهرت 1400'!B30,'کوهرت 1401'!B30)</ns0:f>
        <ns0:v>0.029187771560481513</ns0:v>
      </ns0:c>
      <ns0:c r="C205" s="75">
        <ns0:f>MAX('کوهرت 1392'!C30,'کوهرت 1393'!C30,'کوهرت 1394'!C30,'کوهرت 1397'!C30,'کوهرت 1398'!C30,'کوهرت 1399'!C30,'کوهرت 1400'!C30,'کوهرت 1401'!C30)</ns0:f>
        <ns0:v>-0.010359714633985917</ns0:v>
      </ns0:c>
      <ns0:c r="D205" s="75">
        <ns0:f>MAX('کوهرت 1392'!D30,'کوهرت 1393'!D30,'کوهرت 1394'!D30,'کوهرت 1397'!D30,'کوهرت 1398'!D30,'کوهرت 1399'!D30,'کوهرت 1400'!D30,'کوهرت 1401'!D30)</ns0:f>
        <ns0:v>-0.16501830147667326</ns0:v>
      </ns0:c>
      <ns0:c r="E205" s="75">
        <ns0:f>MAX('کوهرت 1392'!E30,'کوهرت 1393'!E30,'کوهرت 1394'!E30,'کوهرت 1397'!E30,'کوهرت 1398'!E30,'کوهرت 1399'!E30,'کوهرت 1400'!E30,'کوهرت 1401'!E30)</ns0:f>
        <ns0:v>0.14163040306940644</ns0:v>
      </ns0:c>
      <ns0:c r="F205" s="74">
        <ns0:f>MAX('کوهرت 1392'!F30,'کوهرت 1393'!F30,'کوهرت 1394'!F30,'کوهرت 1397'!F30,'کوهرت 1398'!F30,'کوهرت 1399'!F30,'کوهرت 1400'!F30,'کوهرت 1401'!F30)</ns0:f>
        <ns0:v>-0.40087608801516483</ns0:v>
      </ns0:c>
      <ns0:c r="G205" s="75">
        <ns0:f>MAX('کوهرت 1392'!G30,'کوهرت 1393'!G30,'کوهرت 1394'!G30,'کوهرت 1397'!G30,'کوهرت 1398'!G30,'کوهرت 1399'!G30,'کوهرت 1400'!G30,'کوهرت 1401'!G30)</ns0:f>
        <ns0:v>-0.03597735730692057</ns0:v>
      </ns0:c>
      <ns0:c r="H205" s="75">
        <ns0:f>MAX('کوهرت 1392'!H30,'کوهرت 1393'!H30,'کوهرت 1394'!H30,'کوهرت 1397'!H30,'کوهرت 1398'!H30,'کوهرت 1399'!H30,'کوهرت 1400'!H30,'کوهرت 1401'!H30)</ns0:f>
        <ns0:v>-0.052931999463182354</ns0:v>
      </ns0:c>
      <ns0:c r="I205" s="75">
        <ns0:f>MAX('کوهرت 1392'!I30,'کوهرت 1393'!I30,'کوهرت 1394'!I30,'کوهرت 1397'!I30,'کوهرت 1398'!I30,'کوهرت 1399'!I30,'کوهرت 1400'!I30,'کوهرت 1401'!I30)</ns0:f>
        <ns0:v>-0.09661892802077603</ns0:v>
      </ns0:c>
      <ns0:c r="J205" s="75">
        <ns0:f>MAX('کوهرت 1392'!J30,'کوهرت 1393'!J30,'کوهرت 1394'!J30,'کوهرت 1397'!J30,'کوهرت 1398'!J30,'کوهرت 1399'!J30,'کوهرت 1400'!J30,'کوهرت 1401'!J30)</ns0:f>
        <ns0:v>0.07041106497239849</ns0:v>
      </ns0:c>
      <ns0:c r="K205" s="75">
        <ns0:f>MAX('کوهرت 1392'!K30,'کوهرت 1393'!K30,'کوهرت 1394'!K30,'کوهرت 1397'!K30,'کوهرت 1398'!K30,'کوهرت 1399'!K30,'کوهرت 1400'!K30,'کوهرت 1401'!K30)</ns0:f>
        <ns0:v>-0.008162758545789541</ns0:v>
      </ns0:c>
      <ns0:c r="L205" s="75">
        <ns0:f>MAX('کوهرت 1392'!L30,'کوهرت 1393'!L30,'کوهرت 1394'!L30,'کوهرت 1397'!L30,'کوهرت 1398'!L30,'کوهرت 1399'!L30,'کوهرت 1400'!L30,'کوهرت 1401'!L30)</ns0:f>
        <ns0:v>-0.06889518833216464</ns0:v>
      </ns0:c>
      <ns0:c r="M205" s="75">
        <ns0:f>MAX('کوهرت 1392'!M30,'کوهرت 1393'!M30,'کوهرت 1394'!M30,'کوهرت 1397'!M30,'کوهرت 1398'!M30,'کوهرت 1399'!M30,'کوهرت 1400'!M30,'کوهرت 1401'!M30)</ns0:f>
        <ns0:v>-0.0016352164552707587</ns0:v>
      </ns0:c>
    </ns0:row>
    <ns0:row r="206" ht="30" customHeight="1">
      <ns0:c r="A206" s="73" t="inlineStr">
        <ns0:is>
          <ns0:t>میوه</ns0:t>
        </ns0:is>
      </ns0:c>
      <ns0:c r="B206" s="75">
        <ns0:f>MAX('کوهرت 1392'!B31,'کوهرت 1393'!B31,'کوهرت 1394'!B31,'کوهرت 1397'!B31,'کوهرت 1398'!B31,'کوهرت 1399'!B31,'کوهرت 1400'!B31,'کوهرت 1401'!B31)</ns0:f>
        <ns0:v>-0.15597449297668128</ns0:v>
      </ns0:c>
      <ns0:c r="C206" s="75">
        <ns0:f>MAX('کوهرت 1392'!C31,'کوهرت 1393'!C31,'کوهرت 1394'!C31,'کوهرت 1397'!C31,'کوهرت 1398'!C31,'کوهرت 1399'!C31,'کوهرت 1400'!C31,'کوهرت 1401'!C31)</ns0:f>
        <ns0:v>0.012091539323861504</ns0:v>
      </ns0:c>
      <ns0:c r="D206" s="75">
        <ns0:f>MAX('کوهرت 1392'!D31,'کوهرت 1393'!D31,'کوهرت 1394'!D31,'کوهرت 1397'!D31,'کوهرت 1398'!D31,'کوهرت 1399'!D31,'کوهرت 1400'!D31,'کوهرت 1401'!D31)</ns0:f>
        <ns0:v>0.005151550373247333</ns0:v>
      </ns0:c>
      <ns0:c r="E206" s="75">
        <ns0:f>MAX('کوهرت 1392'!E31,'کوهرت 1393'!E31,'کوهرت 1394'!E31,'کوهرت 1397'!E31,'کوهرت 1398'!E31,'کوهرت 1399'!E31,'کوهرت 1400'!E31,'کوهرت 1401'!E31)</ns0:f>
        <ns0:v>0.059207218407869196</ns0:v>
      </ns0:c>
      <ns0:c r="F206" s="75">
        <ns0:f>MAX('کوهرت 1392'!F31,'کوهرت 1393'!F31,'کوهرت 1394'!F31,'کوهرت 1397'!F31,'کوهرت 1398'!F31,'کوهرت 1399'!F31,'کوهرت 1400'!F31,'کوهرت 1401'!F31)</ns0:f>
        <ns0:v>-0.07797232445294108</ns0:v>
      </ns0:c>
      <ns0:c r="G206" s="74">
        <ns0:f>MAX('کوهرت 1392'!G31,'کوهرت 1393'!G31,'کوهرت 1394'!G31,'کوهرت 1397'!G31,'کوهرت 1398'!G31,'کوهرت 1399'!G31,'کوهرت 1400'!G31,'کوهرت 1401'!G31)</ns0:f>
        <ns0:v>-1.0271304148532259</ns0:v>
      </ns0:c>
      <ns0:c r="H206" s="75">
        <ns0:f>MAX('کوهرت 1392'!H31,'کوهرت 1393'!H31,'کوهرت 1394'!H31,'کوهرت 1397'!H31,'کوهرت 1398'!H31,'کوهرت 1399'!H31,'کوهرت 1400'!H31,'کوهرت 1401'!H31)</ns0:f>
        <ns0:v>0.12680762827799133</ns0:v>
      </ns0:c>
      <ns0:c r="I206" s="75">
        <ns0:f>MAX('کوهرت 1392'!I31,'کوهرت 1393'!I31,'کوهرت 1394'!I31,'کوهرت 1397'!I31,'کوهرت 1398'!I31,'کوهرت 1399'!I31,'کوهرت 1400'!I31,'کوهرت 1401'!I31)</ns0:f>
        <ns0:v>-0.03715989376600189</ns0:v>
      </ns0:c>
      <ns0:c r="J206" s="75">
        <ns0:f>MAX('کوهرت 1392'!J31,'کوهرت 1393'!J31,'کوهرت 1394'!J31,'کوهرت 1397'!J31,'کوهرت 1398'!J31,'کوهرت 1399'!J31,'کوهرت 1400'!J31,'کوهرت 1401'!J31)</ns0:f>
        <ns0:v>-0.18890464543069005</ns0:v>
      </ns0:c>
      <ns0:c r="K206" s="75">
        <ns0:f>MAX('کوهرت 1392'!K31,'کوهرت 1393'!K31,'کوهرت 1394'!K31,'کوهرت 1397'!K31,'کوهرت 1398'!K31,'کوهرت 1399'!K31,'کوهرت 1400'!K31,'کوهرت 1401'!K31)</ns0:f>
        <ns0:v>0.06371305765064654</ns0:v>
      </ns0:c>
      <ns0:c r="L206" s="75">
        <ns0:f>MAX('کوهرت 1392'!L31,'کوهرت 1393'!L31,'کوهرت 1394'!L31,'کوهرت 1397'!L31,'کوهرت 1398'!L31,'کوهرت 1399'!L31,'کوهرت 1400'!L31,'کوهرت 1401'!L31)</ns0:f>
        <ns0:v>-0.028258458689540397</ns0:v>
      </ns0:c>
      <ns0:c r="M206" s="75">
        <ns0:f>MAX('کوهرت 1392'!M31,'کوهرت 1393'!M31,'کوهرت 1394'!M31,'کوهرت 1397'!M31,'کوهرت 1398'!M31,'کوهرت 1399'!M31,'کوهرت 1400'!M31,'کوهرت 1401'!M31)</ns0:f>
        <ns0:v>0.0352304356746036</ns0:v>
      </ns0:c>
    </ns0:row>
    <ns0:row r="207" ht="30" customHeight="1">
      <ns0:c r="A207" s="73" t="inlineStr">
        <ns0:is>
          <ns0:t>سبزیجات و سیب‌زمینی</ns0:t>
        </ns0:is>
      </ns0:c>
      <ns0:c r="B207" s="75">
        <ns0:f>MAX('کوهرت 1392'!B32,'کوهرت 1393'!B32,'کوهرت 1394'!B32,'کوهرت 1397'!B32,'کوهرت 1398'!B32,'کوهرت 1399'!B32,'کوهرت 1400'!B32,'کوهرت 1401'!B32)</ns0:f>
        <ns0:v>-0.009367245558232325</ns0:v>
      </ns0:c>
      <ns0:c r="C207" s="75">
        <ns0:f>MAX('کوهرت 1392'!C32,'کوهرت 1393'!C32,'کوهرت 1394'!C32,'کوهرت 1397'!C32,'کوهرت 1398'!C32,'کوهرت 1399'!C32,'کوهرت 1400'!C32,'کوهرت 1401'!C32)</ns0:f>
        <ns0:v>-0.1225152547312331</ns0:v>
      </ns0:c>
      <ns0:c r="D207" s="75">
        <ns0:f>MAX('کوهرت 1392'!D32,'کوهرت 1393'!D32,'کوهرت 1394'!D32,'کوهرت 1397'!D32,'کوهرت 1398'!D32,'کوهرت 1399'!D32,'کوهرت 1400'!D32,'کوهرت 1401'!D32)</ns0:f>
        <ns0:v>-0.05905469968379979</ns0:v>
      </ns0:c>
      <ns0:c r="E207" s="75">
        <ns0:f>MAX('کوهرت 1392'!E32,'کوهرت 1393'!E32,'کوهرت 1394'!E32,'کوهرت 1397'!E32,'کوهرت 1398'!E32,'کوهرت 1399'!E32,'کوهرت 1400'!E32,'کوهرت 1401'!E32)</ns0:f>
        <ns0:v>-0.12640030100889418</ns0:v>
      </ns0:c>
      <ns0:c r="F207" s="75">
        <ns0:f>MAX('کوهرت 1392'!F32,'کوهرت 1393'!F32,'کوهرت 1394'!F32,'کوهرت 1397'!F32,'کوهرت 1398'!F32,'کوهرت 1399'!F32,'کوهرت 1400'!F32,'کوهرت 1401'!F32)</ns0:f>
        <ns0:v>0.0011629150464393453</ns0:v>
      </ns0:c>
      <ns0:c r="G207" s="75">
        <ns0:f>MAX('کوهرت 1392'!G32,'کوهرت 1393'!G32,'کوهرت 1394'!G32,'کوهرت 1397'!G32,'کوهرت 1398'!G32,'کوهرت 1399'!G32,'کوهرت 1400'!G32,'کوهرت 1401'!G32)</ns0:f>
        <ns0:v>0.05984730530974808</ns0:v>
      </ns0:c>
      <ns0:c r="H207" s="74">
        <ns0:f>MAX('کوهرت 1392'!H32,'کوهرت 1393'!H32,'کوهرت 1394'!H32,'کوهرت 1397'!H32,'کوهرت 1398'!H32,'کوهرت 1399'!H32,'کوهرت 1400'!H32,'کوهرت 1401'!H32)</ns0:f>
        <ns0:v>-0.37828021850795845</ns0:v>
      </ns0:c>
      <ns0:c r="I207" s="75">
        <ns0:f>MAX('کوهرت 1392'!I32,'کوهرت 1393'!I32,'کوهرت 1394'!I32,'کوهرت 1397'!I32,'کوهرت 1398'!I32,'کوهرت 1399'!I32,'کوهرت 1400'!I32,'کوهرت 1401'!I32)</ns0:f>
        <ns0:v>0.002654978177972146</ns0:v>
      </ns0:c>
      <ns0:c r="J207" s="75">
        <ns0:f>MAX('کوهرت 1392'!J32,'کوهرت 1393'!J32,'کوهرت 1394'!J32,'کوهرت 1397'!J32,'کوهرت 1398'!J32,'کوهرت 1399'!J32,'کوهرت 1400'!J32,'کوهرت 1401'!J32)</ns0:f>
        <ns0:v>0.01729998510196429</ns0:v>
      </ns0:c>
      <ns0:c r="K207" s="75">
        <ns0:f>MAX('کوهرت 1392'!K32,'کوهرت 1393'!K32,'کوهرت 1394'!K32,'کوهرت 1397'!K32,'کوهرت 1398'!K32,'کوهرت 1399'!K32,'کوهرت 1400'!K32,'کوهرت 1401'!K32)</ns0:f>
        <ns0:v>-0.06618481175232203</ns0:v>
      </ns0:c>
      <ns0:c r="L207" s="75">
        <ns0:f>MAX('کوهرت 1392'!L32,'کوهرت 1393'!L32,'کوهرت 1394'!L32,'کوهرت 1397'!L32,'کوهرت 1398'!L32,'کوهرت 1399'!L32,'کوهرت 1400'!L32,'کوهرت 1401'!L32)</ns0:f>
        <ns0:v>0.07048311609668377</ns0:v>
      </ns0:c>
      <ns0:c r="M207" s="75">
        <ns0:f>MAX('کوهرت 1392'!M32,'کوهرت 1393'!M32,'کوهرت 1394'!M32,'کوهرت 1397'!M32,'کوهرت 1398'!M32,'کوهرت 1399'!M32,'کوهرت 1400'!M32,'کوهرت 1401'!M32)</ns0:f>
        <ns0:v>-0.02087129365333808</ns0:v>
      </ns0:c>
    </ns0:row>
    <ns0:row r="208" ht="30" customHeight="1">
      <ns0:c r="A208" s="73" t="inlineStr">
        <ns0:is>
          <ns0:t>حبوبات</ns0:t>
        </ns0:is>
      </ns0:c>
      <ns0:c r="B208" s="75">
        <ns0:f>MAX('کوهرت 1392'!B33,'کوهرت 1393'!B33,'کوهرت 1394'!B33,'کوهرت 1397'!B33,'کوهرت 1398'!B33,'کوهرت 1399'!B33,'کوهرت 1400'!B33,'کوهرت 1401'!B33)</ns0:f>
        <ns0:v>-0.058949968269101316</ns0:v>
      </ns0:c>
      <ns0:c r="C208" s="75">
        <ns0:f>MAX('کوهرت 1392'!C33,'کوهرت 1393'!C33,'کوهرت 1394'!C33,'کوهرت 1397'!C33,'کوهرت 1398'!C33,'کوهرت 1399'!C33,'کوهرت 1400'!C33,'کوهرت 1401'!C33)</ns0:f>
        <ns0:v>0.0432600956420756</ns0:v>
      </ns0:c>
      <ns0:c r="D208" s="75">
        <ns0:f>MAX('کوهرت 1392'!D33,'کوهرت 1393'!D33,'کوهرت 1394'!D33,'کوهرت 1397'!D33,'کوهرت 1398'!D33,'کوهرت 1399'!D33,'کوهرت 1400'!D33,'کوهرت 1401'!D33)</ns0:f>
        <ns0:v>0.05271609847180937</ns0:v>
      </ns0:c>
      <ns0:c r="E208" s="75">
        <ns0:f>MAX('کوهرت 1392'!E33,'کوهرت 1393'!E33,'کوهرت 1394'!E33,'کوهرت 1397'!E33,'کوهرت 1398'!E33,'کوهرت 1399'!E33,'کوهرت 1400'!E33,'کوهرت 1401'!E33)</ns0:f>
        <ns0:v>0.265379273539276</ns0:v>
      </ns0:c>
      <ns0:c r="F208" s="75">
        <ns0:f>MAX('کوهرت 1392'!F33,'کوهرت 1393'!F33,'کوهرت 1394'!F33,'کوهرت 1397'!F33,'کوهرت 1398'!F33,'کوهرت 1399'!F33,'کوهرت 1400'!F33,'کوهرت 1401'!F33)</ns0:f>
        <ns0:v>-0.09340098986329028</ns0:v>
      </ns0:c>
      <ns0:c r="G208" s="75">
        <ns0:f>MAX('کوهرت 1392'!G33,'کوهرت 1393'!G33,'کوهرت 1394'!G33,'کوهرت 1397'!G33,'کوهرت 1398'!G33,'کوهرت 1399'!G33,'کوهرت 1400'!G33,'کوهرت 1401'!G33)</ns0:f>
        <ns0:v>-0.04919245090973876</ns0:v>
      </ns0:c>
      <ns0:c r="H208" s="75">
        <ns0:f>MAX('کوهرت 1392'!H33,'کوهرت 1393'!H33,'کوهرت 1394'!H33,'کوهرت 1397'!H33,'کوهرت 1398'!H33,'کوهرت 1399'!H33,'کوهرت 1400'!H33,'کوهرت 1401'!H33)</ns0:f>
        <ns0:v>-0.10867313310835115</ns0:v>
      </ns0:c>
      <ns0:c r="I208" s="74">
        <ns0:f>MAX('کوهرت 1392'!I33,'کوهرت 1393'!I33,'کوهرت 1394'!I33,'کوهرت 1397'!I33,'کوهرت 1398'!I33,'کوهرت 1399'!I33,'کوهرت 1400'!I33,'کوهرت 1401'!I33)</ns0:f>
        <ns0:v>-0.6777603020824129</ns0:v>
      </ns0:c>
      <ns0:c r="J208" s="75">
        <ns0:f>MAX('کوهرت 1392'!J33,'کوهرت 1393'!J33,'کوهرت 1394'!J33,'کوهرت 1397'!J33,'کوهرت 1398'!J33,'کوهرت 1399'!J33,'کوهرت 1400'!J33,'کوهرت 1401'!J33)</ns0:f>
        <ns0:v>-0.11895801630038097</ns0:v>
      </ns0:c>
      <ns0:c r="K208" s="75">
        <ns0:f>MAX('کوهرت 1392'!K33,'کوهرت 1393'!K33,'کوهرت 1394'!K33,'کوهرت 1397'!K33,'کوهرت 1398'!K33,'کوهرت 1399'!K33,'کوهرت 1400'!K33,'کوهرت 1401'!K33)</ns0:f>
        <ns0:v>-0.15241509991655938</ns0:v>
      </ns0:c>
      <ns0:c r="L208" s="75">
        <ns0:f>MAX('کوهرت 1392'!L33,'کوهرت 1393'!L33,'کوهرت 1394'!L33,'کوهرت 1397'!L33,'کوهرت 1398'!L33,'کوهرت 1399'!L33,'کوهرت 1400'!L33,'کوهرت 1401'!L33)</ns0:f>
        <ns0:v>0.038163591037172866</ns0:v>
      </ns0:c>
      <ns0:c r="M208" s="75">
        <ns0:f>MAX('کوهرت 1392'!M33,'کوهرت 1393'!M33,'کوهرت 1394'!M33,'کوهرت 1397'!M33,'کوهرت 1398'!M33,'کوهرت 1399'!M33,'کوهرت 1400'!M33,'کوهرت 1401'!M33)</ns0:f>
        <ns0:v>0.005386245529550938</ns0:v>
      </ns0:c>
    </ns0:row>
    <ns0:row r="209" ht="30" customHeight="1">
      <ns0:c r="A209" s="73" t="inlineStr">
        <ns0:is>
          <ns0:t>مغزها، خشکبار و خرما</ns0:t>
        </ns0:is>
      </ns0:c>
      <ns0:c r="B209" s="75">
        <ns0:f>MAX('کوهرت 1392'!B34,'کوهرت 1393'!B34,'کوهرت 1394'!B34,'کوهرت 1397'!B34,'کوهرت 1398'!B34,'کوهرت 1399'!B34,'کوهرت 1400'!B34,'کوهرت 1401'!B34)</ns0:f>
        <ns0:v>-0.1526766368285319</ns0:v>
      </ns0:c>
      <ns0:c r="C209" s="75">
        <ns0:f>MAX('کوهرت 1392'!C34,'کوهرت 1393'!C34,'کوهرت 1394'!C34,'کوهرت 1397'!C34,'کوهرت 1398'!C34,'کوهرت 1399'!C34,'کوهرت 1400'!C34,'کوهرت 1401'!C34)</ns0:f>
        <ns0:v>-0.053378498585416385</ns0:v>
      </ns0:c>
      <ns0:c r="D209" s="75">
        <ns0:f>MAX('کوهرت 1392'!D34,'کوهرت 1393'!D34,'کوهرت 1394'!D34,'کوهرت 1397'!D34,'کوهرت 1398'!D34,'کوهرت 1399'!D34,'کوهرت 1400'!D34,'کوهرت 1401'!D34)</ns0:f>
        <ns0:v>-0.34700589096230544</ns0:v>
      </ns0:c>
      <ns0:c r="E209" s="75">
        <ns0:f>MAX('کوهرت 1392'!E34,'کوهرت 1393'!E34,'کوهرت 1394'!E34,'کوهرت 1397'!E34,'کوهرت 1398'!E34,'کوهرت 1399'!E34,'کوهرت 1400'!E34,'کوهرت 1401'!E34)</ns0:f>
        <ns0:v>0.1113496296452187</ns0:v>
      </ns0:c>
      <ns0:c r="F209" s="75">
        <ns0:f>MAX('کوهرت 1392'!F34,'کوهرت 1393'!F34,'کوهرت 1394'!F34,'کوهرت 1397'!F34,'کوهرت 1398'!F34,'کوهرت 1399'!F34,'کوهرت 1400'!F34,'کوهرت 1401'!F34)</ns0:f>
        <ns0:v>0.0062565938599999675</ns0:v>
      </ns0:c>
      <ns0:c r="G209" s="75">
        <ns0:f>MAX('کوهرت 1392'!G34,'کوهرت 1393'!G34,'کوهرت 1394'!G34,'کوهرت 1397'!G34,'کوهرت 1398'!G34,'کوهرت 1399'!G34,'کوهرت 1400'!G34,'کوهرت 1401'!G34)</ns0:f>
        <ns0:v>-0.20381780190904195</ns0:v>
      </ns0:c>
      <ns0:c r="H209" s="75">
        <ns0:f>MAX('کوهرت 1392'!H34,'کوهرت 1393'!H34,'کوهرت 1394'!H34,'کوهرت 1397'!H34,'کوهرت 1398'!H34,'کوهرت 1399'!H34,'کوهرت 1400'!H34,'کوهرت 1401'!H34)</ns0:f>
        <ns0:v>-0.12672329826471135</ns0:v>
      </ns0:c>
      <ns0:c r="I209" s="75">
        <ns0:f>MAX('کوهرت 1392'!I34,'کوهرت 1393'!I34,'کوهرت 1394'!I34,'کوهرت 1397'!I34,'کوهرت 1398'!I34,'کوهرت 1399'!I34,'کوهرت 1400'!I34,'کوهرت 1401'!I34)</ns0:f>
        <ns0:v>-0.13539090929410108</ns0:v>
      </ns0:c>
      <ns0:c r="J209" s="74">
        <ns0:f>MAX('کوهرت 1392'!J34,'کوهرت 1393'!J34,'کوهرت 1394'!J34,'کوهرت 1397'!J34,'کوهرت 1398'!J34,'کوهرت 1399'!J34,'کوهرت 1400'!J34,'کوهرت 1401'!J34)</ns0:f>
        <ns0:v>-0.926597522388988</ns0:v>
      </ns0:c>
      <ns0:c r="K209" s="75">
        <ns0:f>MAX('کوهرت 1392'!K34,'کوهرت 1393'!K34,'کوهرت 1394'!K34,'کوهرت 1397'!K34,'کوهرت 1398'!K34,'کوهرت 1399'!K34,'کوهرت 1400'!K34,'کوهرت 1401'!K34)</ns0:f>
        <ns0:v>-0.09270996279530128</ns0:v>
      </ns0:c>
      <ns0:c r="L209" s="75">
        <ns0:f>MAX('کوهرت 1392'!L34,'کوهرت 1393'!L34,'کوهرت 1394'!L34,'کوهرت 1397'!L34,'کوهرت 1398'!L34,'کوهرت 1399'!L34,'کوهرت 1400'!L34,'کوهرت 1401'!L34)</ns0:f>
        <ns0:v>-0.17424625979992064</ns0:v>
      </ns0:c>
      <ns0:c r="M209" s="75">
        <ns0:f>MAX('کوهرت 1392'!M34,'کوهرت 1393'!M34,'کوهرت 1394'!M34,'کوهرت 1397'!M34,'کوهرت 1398'!M34,'کوهرت 1399'!M34,'کوهرت 1400'!M34,'کوهرت 1401'!M34)</ns0:f>
        <ns0:v>0.09741856972132858</ns0:v>
      </ns0:c>
    </ns0:row>
    <ns0:row r="210" ht="30" customHeight="1">
      <ns0:c r="A210" s="73" t="inlineStr">
        <ns0:is>
          <ns0:t>قند، شیرینی و تنقلات</ns0:t>
        </ns0:is>
      </ns0:c>
      <ns0:c r="B210" s="75">
        <ns0:f>MAX('کوهرت 1392'!B35,'کوهرت 1393'!B35,'کوهرت 1394'!B35,'کوهرت 1397'!B35,'کوهرت 1398'!B35,'کوهرت 1399'!B35,'کوهرت 1400'!B35,'کوهرت 1401'!B35)</ns0:f>
        <ns0:v>-0.11729008989184898</ns0:v>
      </ns0:c>
      <ns0:c r="C210" s="75">
        <ns0:f>MAX('کوهرت 1392'!C35,'کوهرت 1393'!C35,'کوهرت 1394'!C35,'کوهرت 1397'!C35,'کوهرت 1398'!C35,'کوهرت 1399'!C35,'کوهرت 1400'!C35,'کوهرت 1401'!C35)</ns0:f>
        <ns0:v>-0.051466192885401836</ns0:v>
      </ns0:c>
      <ns0:c r="D210" s="75">
        <ns0:f>MAX('کوهرت 1392'!D35,'کوهرت 1393'!D35,'کوهرت 1394'!D35,'کوهرت 1397'!D35,'کوهرت 1398'!D35,'کوهرت 1399'!D35,'کوهرت 1400'!D35,'کوهرت 1401'!D35)</ns0:f>
        <ns0:v>0.02122548482915202</ns0:v>
      </ns0:c>
      <ns0:c r="E210" s="75">
        <ns0:f>MAX('کوهرت 1392'!E35,'کوهرت 1393'!E35,'کوهرت 1394'!E35,'کوهرت 1397'!E35,'کوهرت 1398'!E35,'کوهرت 1399'!E35,'کوهرت 1400'!E35,'کوهرت 1401'!E35)</ns0:f>
        <ns0:v>-0.10824142037053039</ns0:v>
      </ns0:c>
      <ns0:c r="F210" s="75">
        <ns0:f>MAX('کوهرت 1392'!F35,'کوهرت 1393'!F35,'کوهرت 1394'!F35,'کوهرت 1397'!F35,'کوهرت 1398'!F35,'کوهرت 1399'!F35,'کوهرت 1400'!F35,'کوهرت 1401'!F35)</ns0:f>
        <ns0:v>-0.01577174061697646</ns0:v>
      </ns0:c>
      <ns0:c r="G210" s="75">
        <ns0:f>MAX('کوهرت 1392'!G35,'کوهرت 1393'!G35,'کوهرت 1394'!G35,'کوهرت 1397'!G35,'کوهرت 1398'!G35,'کوهرت 1399'!G35,'کوهرت 1400'!G35,'کوهرت 1401'!G35)</ns0:f>
        <ns0:v>0.0553679780286395</ns0:v>
      </ns0:c>
      <ns0:c r="H210" s="75">
        <ns0:f>MAX('کوهرت 1392'!H35,'کوهرت 1393'!H35,'کوهرت 1394'!H35,'کوهرت 1397'!H35,'کوهرت 1398'!H35,'کوهرت 1399'!H35,'کوهرت 1400'!H35,'کوهرت 1401'!H35)</ns0:f>
        <ns0:v>-0.10285377732450164</ns0:v>
      </ns0:c>
      <ns0:c r="I210" s="75">
        <ns0:f>MAX('کوهرت 1392'!I35,'کوهرت 1393'!I35,'کوهرت 1394'!I35,'کوهرت 1397'!I35,'کوهرت 1398'!I35,'کوهرت 1399'!I35,'کوهرت 1400'!I35,'کوهرت 1401'!I35)</ns0:f>
        <ns0:v>-0.04157831562723126</ns0:v>
      </ns0:c>
      <ns0:c r="J210" s="75">
        <ns0:f>MAX('کوهرت 1392'!J35,'کوهرت 1393'!J35,'کوهرت 1394'!J35,'کوهرت 1397'!J35,'کوهرت 1398'!J35,'کوهرت 1399'!J35,'کوهرت 1400'!J35,'کوهرت 1401'!J35)</ns0:f>
        <ns0:v>-0.018958283735144656</ns0:v>
      </ns0:c>
      <ns0:c r="K210" s="74">
        <ns0:f>MAX('کوهرت 1392'!K35,'کوهرت 1393'!K35,'کوهرت 1394'!K35,'کوهرت 1397'!K35,'کوهرت 1398'!K35,'کوهرت 1399'!K35,'کوهرت 1400'!K35,'کوهرت 1401'!K35)</ns0:f>
        <ns0:v>-0.4879051034249887</ns0:v>
      </ns0:c>
      <ns0:c r="L210" s="75">
        <ns0:f>MAX('کوهرت 1392'!L35,'کوهرت 1393'!L35,'کوهرت 1394'!L35,'کوهرت 1397'!L35,'کوهرت 1398'!L35,'کوهرت 1399'!L35,'کوهرت 1400'!L35,'کوهرت 1401'!L35)</ns0:f>
        <ns0:v>-0.05405222817883191</ns0:v>
      </ns0:c>
      <ns0:c r="M210" s="75">
        <ns0:f>MAX('کوهرت 1392'!M35,'کوهرت 1393'!M35,'کوهرت 1394'!M35,'کوهرت 1397'!M35,'کوهرت 1398'!M35,'کوهرت 1399'!M35,'کوهرت 1400'!M35,'کوهرت 1401'!M35)</ns0:f>
        <ns0:v>-0.00024002671593637153</ns0:v>
      </ns0:c>
    </ns0:row>
    <ns0:row r="211" ht="30" customHeight="1">
      <ns0:c r="A211" s="73" t="inlineStr">
        <ns0:is>
          <ns0:t>نوشیدنی بدون نوشابه</ns0:t>
        </ns0:is>
      </ns0:c>
      <ns0:c r="B211" s="75">
        <ns0:f>MAX('کوهرت 1392'!B36,'کوهرت 1393'!B36,'کوهرت 1394'!B36,'کوهرت 1397'!B36,'کوهرت 1398'!B36,'کوهرت 1399'!B36,'کوهرت 1400'!B36,'کوهرت 1401'!B36)</ns0:f>
        <ns0:v>-0.22552464619681606</ns0:v>
      </ns0:c>
      <ns0:c r="C211" s="75">
        <ns0:f>MAX('کوهرت 1392'!C36,'کوهرت 1393'!C36,'کوهرت 1394'!C36,'کوهرت 1397'!C36,'کوهرت 1398'!C36,'کوهرت 1399'!C36,'کوهرت 1400'!C36,'کوهرت 1401'!C36)</ns0:f>
        <ns0:v>0.19789513044046142</ns0:v>
      </ns0:c>
      <ns0:c r="D211" s="75">
        <ns0:f>MAX('کوهرت 1392'!D36,'کوهرت 1393'!D36,'کوهرت 1394'!D36,'کوهرت 1397'!D36,'کوهرت 1398'!D36,'کوهرت 1399'!D36,'کوهرت 1400'!D36,'کوهرت 1401'!D36)</ns0:f>
        <ns0:v>-0.059641405495864025</ns0:v>
      </ns0:c>
      <ns0:c r="E211" s="75">
        <ns0:f>MAX('کوهرت 1392'!E36,'کوهرت 1393'!E36,'کوهرت 1394'!E36,'کوهرت 1397'!E36,'کوهرت 1398'!E36,'کوهرت 1399'!E36,'کوهرت 1400'!E36,'کوهرت 1401'!E36)</ns0:f>
        <ns0:v>0.30136715436964484</ns0:v>
      </ns0:c>
      <ns0:c r="F211" s="75">
        <ns0:f>MAX('کوهرت 1392'!F36,'کوهرت 1393'!F36,'کوهرت 1394'!F36,'کوهرت 1397'!F36,'کوهرت 1398'!F36,'کوهرت 1399'!F36,'کوهرت 1400'!F36,'کوهرت 1401'!F36)</ns0:f>
        <ns0:v>-0.09348188050880168</ns0:v>
      </ns0:c>
      <ns0:c r="G211" s="75">
        <ns0:f>MAX('کوهرت 1392'!G36,'کوهرت 1393'!G36,'کوهرت 1394'!G36,'کوهرت 1397'!G36,'کوهرت 1398'!G36,'کوهرت 1399'!G36,'کوهرت 1400'!G36,'کوهرت 1401'!G36)</ns0:f>
        <ns0:v>-0.02259896928530177</ns0:v>
      </ns0:c>
      <ns0:c r="H211" s="75">
        <ns0:f>MAX('کوهرت 1392'!H36,'کوهرت 1393'!H36,'کوهرت 1394'!H36,'کوهرت 1397'!H36,'کوهرت 1398'!H36,'کوهرت 1399'!H36,'کوهرت 1400'!H36,'کوهرت 1401'!H36)</ns0:f>
        <ns0:v>0.17721570280827043</ns0:v>
      </ns0:c>
      <ns0:c r="I211" s="75">
        <ns0:f>MAX('کوهرت 1392'!I36,'کوهرت 1393'!I36,'کوهرت 1394'!I36,'کوهرت 1397'!I36,'کوهرت 1398'!I36,'کوهرت 1399'!I36,'کوهرت 1400'!I36,'کوهرت 1401'!I36)</ns0:f>
        <ns0:v>0.08988955715661429</ns0:v>
      </ns0:c>
      <ns0:c r="J211" s="75">
        <ns0:f>MAX('کوهرت 1392'!J36,'کوهرت 1393'!J36,'کوهرت 1394'!J36,'کوهرت 1397'!J36,'کوهرت 1398'!J36,'کوهرت 1399'!J36,'کوهرت 1400'!J36,'کوهرت 1401'!J36)</ns0:f>
        <ns0:v>-0.11237794820866323</ns0:v>
      </ns0:c>
      <ns0:c r="K211" s="75">
        <ns0:f>MAX('کوهرت 1392'!K36,'کوهرت 1393'!K36,'کوهرت 1394'!K36,'کوهرت 1397'!K36,'کوهرت 1398'!K36,'کوهرت 1399'!K36,'کوهرت 1400'!K36,'کوهرت 1401'!K36)</ns0:f>
        <ns0:v>-0.17573130528540462</ns0:v>
      </ns0:c>
      <ns0:c r="L211" s="74">
        <ns0:f>MAX('کوهرت 1392'!L36,'کوهرت 1393'!L36,'کوهرت 1394'!L36,'کوهرت 1397'!L36,'کوهرت 1398'!L36,'کوهرت 1399'!L36,'کوهرت 1400'!L36,'کوهرت 1401'!L36)</ns0:f>
        <ns0:v>-0.8160903445405312</ns0:v>
      </ns0:c>
      <ns0:c r="M211" s="75">
        <ns0:f>MAX('کوهرت 1392'!M36,'کوهرت 1393'!M36,'کوهرت 1394'!M36,'کوهرت 1397'!M36,'کوهرت 1398'!M36,'کوهرت 1399'!M36,'کوهرت 1400'!M36,'کوهرت 1401'!M36)</ns0:f>
        <ns0:v>0.0946972495613326</ns0:v>
      </ns0:c>
    </ns0:row>
    <ns0:row r="212" ht="30" customHeight="1">
      <ns0:c r="A212" s="73" t="inlineStr">
        <ns0:is>
          <ns0:t>ادویه و چاشنی</ns0:t>
        </ns0:is>
      </ns0:c>
      <ns0:c r="B212" s="75">
        <ns0:f>MAX('کوهرت 1392'!B37,'کوهرت 1393'!B37,'کوهرت 1394'!B37,'کوهرت 1397'!B37,'کوهرت 1398'!B37,'کوهرت 1399'!B37,'کوهرت 1400'!B37,'کوهرت 1401'!B37)</ns0:f>
        <ns0:v>0.2471973170551938</ns0:v>
      </ns0:c>
      <ns0:c r="C212" s="75">
        <ns0:f>MAX('کوهرت 1392'!C37,'کوهرت 1393'!C37,'کوهرت 1394'!C37,'کوهرت 1397'!C37,'کوهرت 1398'!C37,'کوهرت 1399'!C37,'کوهرت 1400'!C37,'کوهرت 1401'!C37)</ns0:f>
        <ns0:v>-0.134725478176224</ns0:v>
      </ns0:c>
      <ns0:c r="D212" s="75">
        <ns0:f>MAX('کوهرت 1392'!D37,'کوهرت 1393'!D37,'کوهرت 1394'!D37,'کوهرت 1397'!D37,'کوهرت 1398'!D37,'کوهرت 1399'!D37,'کوهرت 1400'!D37,'کوهرت 1401'!D37)</ns0:f>
        <ns0:v>-0.16287098167288858</ns0:v>
      </ns0:c>
      <ns0:c r="E212" s="75">
        <ns0:f>MAX('کوهرت 1392'!E37,'کوهرت 1393'!E37,'کوهرت 1394'!E37,'کوهرت 1397'!E37,'کوهرت 1398'!E37,'کوهرت 1399'!E37,'کوهرت 1400'!E37,'کوهرت 1401'!E37)</ns0:f>
        <ns0:v>-0.31767722738477305</ns0:v>
      </ns0:c>
      <ns0:c r="F212" s="75">
        <ns0:f>MAX('کوهرت 1392'!F37,'کوهرت 1393'!F37,'کوهرت 1394'!F37,'کوهرت 1397'!F37,'کوهرت 1398'!F37,'کوهرت 1399'!F37,'کوهرت 1400'!F37,'کوهرت 1401'!F37)</ns0:f>
        <ns0:v>-0.04685005203278134</ns0:v>
      </ns0:c>
      <ns0:c r="G212" s="75">
        <ns0:f>MAX('کوهرت 1392'!G37,'کوهرت 1393'!G37,'کوهرت 1394'!G37,'کوهرت 1397'!G37,'کوهرت 1398'!G37,'کوهرت 1399'!G37,'کوهرت 1400'!G37,'کوهرت 1401'!G37)</ns0:f>
        <ns0:v>0.0667039307818036</ns0:v>
      </ns0:c>
      <ns0:c r="H212" s="75">
        <ns0:f>MAX('کوهرت 1392'!H37,'کوهرت 1393'!H37,'کوهرت 1394'!H37,'کوهرت 1397'!H37,'کوهرت 1398'!H37,'کوهرت 1399'!H37,'کوهرت 1400'!H37,'کوهرت 1401'!H37)</ns0:f>
        <ns0:v>-0.10621205322045572</ns0:v>
      </ns0:c>
      <ns0:c r="I212" s="75">
        <ns0:f>MAX('کوهرت 1392'!I37,'کوهرت 1393'!I37,'کوهرت 1394'!I37,'کوهرت 1397'!I37,'کوهرت 1398'!I37,'کوهرت 1399'!I37,'کوهرت 1400'!I37,'کوهرت 1401'!I37)</ns0:f>
        <ns0:v>-0.03204944995259592</ns0:v>
      </ns0:c>
      <ns0:c r="J212" s="75">
        <ns0:f>MAX('کوهرت 1392'!J37,'کوهرت 1393'!J37,'کوهرت 1394'!J37,'کوهرت 1397'!J37,'کوهرت 1398'!J37,'کوهرت 1399'!J37,'کوهرت 1400'!J37,'کوهرت 1401'!J37)</ns0:f>
        <ns0:v>0.209479303668017</ns0:v>
      </ns0:c>
      <ns0:c r="K212" s="75">
        <ns0:f>MAX('کوهرت 1392'!K37,'کوهرت 1393'!K37,'کوهرت 1394'!K37,'کوهرت 1397'!K37,'کوهرت 1398'!K37,'کوهرت 1399'!K37,'کوهرت 1400'!K37,'کوهرت 1401'!K37)</ns0:f>
        <ns0:v>-0.040024114828607724</ns0:v>
      </ns0:c>
      <ns0:c r="L212" s="75">
        <ns0:f>MAX('کوهرت 1392'!L37,'کوهرت 1393'!L37,'کوهرت 1394'!L37,'کوهرت 1397'!L37,'کوهرت 1398'!L37,'کوهرت 1399'!L37,'کوهرت 1400'!L37,'کوهرت 1401'!L37)</ns0:f>
        <ns0:v>0.025773322577877924</ns0:v>
      </ns0:c>
      <ns0:c r="M212" s="74">
        <ns0:f>MAX('کوهرت 1392'!M37,'کوهرت 1393'!M37,'کوهرت 1394'!M37,'کوهرت 1397'!M37,'کوهرت 1398'!M37,'کوهرت 1399'!M37,'کوهرت 1400'!M37,'کوهرت 1401'!M37)</ns0:f>
        <ns0:v>-0.3794109032458103</ns0:v>
      </ns0:c>
    </ns0:row>
    <ns0:row r="216" ht="28" customHeight="1">
      <ns0:c r="A216" s="71" t="inlineStr">
        <ns0:is>
          <ns0:t>کوهرت • دامنه کشش مارشالی ۱۲×۱۲ | B1</ns0:t>
        </ns0:is>
      </ns0:c>
      <ns0:c r="B216" s="1" t="n"/>
      <ns0:c r="C216" s="1" t="n"/>
      <ns0:c r="D216" s="1" t="n"/>
      <ns0:c r="E216" s="1" t="n"/>
      <ns0:c r="F216" s="1" t="n"/>
      <ns0:c r="G216" s="1" t="n"/>
      <ns0:c r="H216" s="1" t="n"/>
      <ns0:c r="I216" s="1" t="n"/>
      <ns0:c r="J216" s="1" t="n"/>
      <ns0:c r="K216" s="1" t="n"/>
      <ns0:c r="L216" s="1" t="n"/>
      <ns0:c r="M216" s="1" t="n"/>
    </ns0:row>
    <ns0:row r="217" ht="58" customHeight="1">
      <ns0:c r="A217" s="72" t="inlineStr">
        <ns0:is>
          <ns0:t>گروه تقاضا ↓ / گروه قیمت →</ns0:t>
        </ns0:is>
      </ns0:c>
      <ns0:c r="B217" s="72" t="inlineStr">
        <ns0:is>
          <ns0:t>برنج</ns0:t>
        </ns0:is>
      </ns0:c>
      <ns0:c r="C217" s="72" t="inlineStr">
        <ns0:is>
          <ns0:t>نان و غلات</ns0:t>
        </ns0:is>
      </ns0:c>
      <ns0:c r="D217" s="72" t="inlineStr">
        <ns0:is>
          <ns0:t>گوشت</ns0:t>
        </ns0:is>
      </ns0:c>
      <ns0:c r="E217" s="72" t="inlineStr">
        <ns0:is>
          <ns0:t>لبنیات و تخم‌مرغ</ns0:t>
        </ns0:is>
      </ns0:c>
      <ns0:c r="F217" s="72" t="inlineStr">
        <ns0:is>
          <ns0:t>روغن و چربی</ns0:t>
        </ns0:is>
      </ns0:c>
      <ns0:c r="G217" s="72" t="inlineStr">
        <ns0:is>
          <ns0:t>میوه</ns0:t>
        </ns0:is>
      </ns0:c>
      <ns0:c r="H217" s="72" t="inlineStr">
        <ns0:is>
          <ns0:t>سبزیجات و سیب‌زمینی</ns0:t>
        </ns0:is>
      </ns0:c>
      <ns0:c r="I217" s="72" t="inlineStr">
        <ns0:is>
          <ns0:t>حبوبات</ns0:t>
        </ns0:is>
      </ns0:c>
      <ns0:c r="J217" s="72" t="inlineStr">
        <ns0:is>
          <ns0:t>مغزها، خشکبار و خرما</ns0:t>
        </ns0:is>
      </ns0:c>
      <ns0:c r="K217" s="72" t="inlineStr">
        <ns0:is>
          <ns0:t>قند، شیرینی و تنقلات</ns0:t>
        </ns0:is>
      </ns0:c>
      <ns0:c r="L217" s="72" t="inlineStr">
        <ns0:is>
          <ns0:t>نوشیدنی بدون نوشابه</ns0:t>
        </ns0:is>
      </ns0:c>
      <ns0:c r="M217" s="72" t="inlineStr">
        <ns0:is>
          <ns0:t>ادویه و چاشنی</ns0:t>
        </ns0:is>
      </ns0:c>
    </ns0:row>
    <ns0:row r="218" ht="30" customHeight="1">
      <ns0:c r="A218" s="73" t="inlineStr">
        <ns0:is>
          <ns0:t>برنج</ns0:t>
        </ns0:is>
      </ns0:c>
      <ns0:c r="B218" s="74">
        <ns0:f>MAX('کوهرت 1392'!B26,'کوهرت 1393'!B26,'کوهرت 1394'!B26,'کوهرت 1397'!B26,'کوهرت 1398'!B26,'کوهرت 1399'!B26,'کوهرت 1400'!B26,'کوهرت 1401'!B26)-MIN('کوهرت 1392'!B26,'کوهرت 1393'!B26,'کوهرت 1394'!B26,'کوهرت 1397'!B26,'کوهرت 1398'!B26,'کوهرت 1399'!B26,'کوهرت 1400'!B26,'کوهرت 1401'!B26)</ns0:f>
        <ns0:v>0.004939315454451698</ns0:v>
      </ns0:c>
      <ns0:c r="C218" s="75">
        <ns0:f>MAX('کوهرت 1392'!C26,'کوهرت 1393'!C26,'کوهرت 1394'!C26,'کوهرت 1397'!C26,'کوهرت 1398'!C26,'کوهرت 1399'!C26,'کوهرت 1400'!C26,'کوهرت 1401'!C26)-MIN('کوهرت 1392'!C26,'کوهرت 1393'!C26,'کوهرت 1394'!C26,'کوهرت 1397'!C26,'کوهرت 1398'!C26,'کوهرت 1399'!C26,'کوهرت 1400'!C26,'کوهرت 1401'!C26)</ns0:f>
        <ns0:v>0.04243286943751079</ns0:v>
      </ns0:c>
      <ns0:c r="D218" s="75">
        <ns0:f>MAX('کوهرت 1392'!D26,'کوهرت 1393'!D26,'کوهرت 1394'!D26,'کوهرت 1397'!D26,'کوهرت 1398'!D26,'کوهرت 1399'!D26,'کوهرت 1400'!D26,'کوهرت 1401'!D26)-MIN('کوهرت 1392'!D26,'کوهرت 1393'!D26,'کوهرت 1394'!D26,'کوهرت 1397'!D26,'کوهرت 1398'!D26,'کوهرت 1399'!D26,'کوهرت 1400'!D26,'کوهرت 1401'!D26)</ns0:f>
        <ns0:v>0.020900158449170175</ns0:v>
      </ns0:c>
      <ns0:c r="E218" s="75">
        <ns0:f>MAX('کوهرت 1392'!E26,'کوهرت 1393'!E26,'کوهرت 1394'!E26,'کوهرت 1397'!E26,'کوهرت 1398'!E26,'کوهرت 1399'!E26,'کوهرت 1400'!E26,'کوهرت 1401'!E26)-MIN('کوهرت 1392'!E26,'کوهرت 1393'!E26,'کوهرت 1394'!E26,'کوهرت 1397'!E26,'کوهرت 1398'!E26,'کوهرت 1399'!E26,'کوهرت 1400'!E26,'کوهرت 1401'!E26)</ns0:f>
        <ns0:v>0.008756424136122449</ns0:v>
      </ns0:c>
      <ns0:c r="F218" s="75">
        <ns0:f>MAX('کوهرت 1392'!F26,'کوهرت 1393'!F26,'کوهرت 1394'!F26,'کوهرت 1397'!F26,'کوهرت 1398'!F26,'کوهرت 1399'!F26,'کوهرت 1400'!F26,'کوهرت 1401'!F26)-MIN('کوهرت 1392'!F26,'کوهرت 1393'!F26,'کوهرت 1394'!F26,'کوهرت 1397'!F26,'کوهرت 1398'!F26,'کوهرت 1399'!F26,'کوهرت 1400'!F26,'کوهرت 1401'!F26)</ns0:f>
        <ns0:v>0.00956838302716441</ns0:v>
      </ns0:c>
      <ns0:c r="G218" s="75">
        <ns0:f>MAX('کوهرت 1392'!G26,'کوهرت 1393'!G26,'کوهرت 1394'!G26,'کوهرت 1397'!G26,'کوهرت 1398'!G26,'کوهرت 1399'!G26,'کوهرت 1400'!G26,'کوهرت 1401'!G26)-MIN('کوهرت 1392'!G26,'کوهرت 1393'!G26,'کوهرت 1394'!G26,'کوهرت 1397'!G26,'کوهرت 1398'!G26,'کوهرت 1399'!G26,'کوهرت 1400'!G26,'کوهرت 1401'!G26)</ns0:f>
        <ns0:v>0.0070877846949551765</ns0:v>
      </ns0:c>
      <ns0:c r="H218" s="75">
        <ns0:f>MAX('کوهرت 1392'!H26,'کوهرت 1393'!H26,'کوهرت 1394'!H26,'کوهرت 1397'!H26,'کوهرت 1398'!H26,'کوهرت 1399'!H26,'کوهرت 1400'!H26,'کوهرت 1401'!H26)-MIN('کوهرت 1392'!H26,'کوهرت 1393'!H26,'کوهرت 1394'!H26,'کوهرت 1397'!H26,'کوهرت 1398'!H26,'کوهرت 1399'!H26,'کوهرت 1400'!H26,'کوهرت 1401'!H26)</ns0:f>
        <ns0:v>0.011850777184426994</ns0:v>
      </ns0:c>
      <ns0:c r="I218" s="75">
        <ns0:f>MAX('کوهرت 1392'!I26,'کوهرت 1393'!I26,'کوهرت 1394'!I26,'کوهرت 1397'!I26,'کوهرت 1398'!I26,'کوهرت 1399'!I26,'کوهرت 1400'!I26,'کوهرت 1401'!I26)-MIN('کوهرت 1392'!I26,'کوهرت 1393'!I26,'کوهرت 1394'!I26,'کوهرت 1397'!I26,'کوهرت 1398'!I26,'کوهرت 1399'!I26,'کوهرت 1400'!I26,'کوهرت 1401'!I26)</ns0:f>
        <ns0:v>0.009563801224363191</ns0:v>
      </ns0:c>
      <ns0:c r="J218" s="75">
        <ns0:f>MAX('کوهرت 1392'!J26,'کوهرت 1393'!J26,'کوهرت 1394'!J26,'کوهرت 1397'!J26,'کوهرت 1398'!J26,'کوهرت 1399'!J26,'کوهرت 1400'!J26,'کوهرت 1401'!J26)-MIN('کوهرت 1392'!J26,'کوهرت 1393'!J26,'کوهرت 1394'!J26,'کوهرت 1397'!J26,'کوهرت 1398'!J26,'کوهرت 1399'!J26,'کوهرت 1400'!J26,'کوهرت 1401'!J26)</ns0:f>
        <ns0:v>0.00995025354151824</ns0:v>
      </ns0:c>
      <ns0:c r="K218" s="75">
        <ns0:f>MAX('کوهرت 1392'!K26,'کوهرت 1393'!K26,'کوهرت 1394'!K26,'کوهرت 1397'!K26,'کوهرت 1398'!K26,'کوهرت 1399'!K26,'کوهرت 1400'!K26,'کوهرت 1401'!K26)-MIN('کوهرت 1392'!K26,'کوهرت 1393'!K26,'کوهرت 1394'!K26,'کوهرت 1397'!K26,'کوهرت 1398'!K26,'کوهرت 1399'!K26,'کوهرت 1400'!K26,'کوهرت 1401'!K26)</ns0:f>
        <ns0:v>0.010566572685643844</ns0:v>
      </ns0:c>
      <ns0:c r="L218" s="75">
        <ns0:f>MAX('کوهرت 1392'!L26,'کوهرت 1393'!L26,'کوهرت 1394'!L26,'کوهرت 1397'!L26,'کوهرت 1398'!L26,'کوهرت 1399'!L26,'کوهرت 1400'!L26,'کوهرت 1401'!L26)-MIN('کوهرت 1392'!L26,'کوهرت 1393'!L26,'کوهرت 1394'!L26,'کوهرت 1397'!L26,'کوهرت 1398'!L26,'کوهرت 1399'!L26,'کوهرت 1400'!L26,'کوهرت 1401'!L26)</ns0:f>
        <ns0:v>0.009042606259930086</ns0:v>
      </ns0:c>
      <ns0:c r="M218" s="75">
        <ns0:f>MAX('کوهرت 1392'!M26,'کوهرت 1393'!M26,'کوهرت 1394'!M26,'کوهرت 1397'!M26,'کوهرت 1398'!M26,'کوهرت 1399'!M26,'کوهرت 1400'!M26,'کوهرت 1401'!M26)-MIN('کوهرت 1392'!M26,'کوهرت 1393'!M26,'کوهرت 1394'!M26,'کوهرت 1397'!M26,'کوهرت 1398'!M26,'کوهرت 1399'!M26,'کوهرت 1400'!M26,'کوهرت 1401'!M26)</ns0:f>
        <ns0:v>0.008724702546145081</ns0:v>
      </ns0:c>
    </ns0:row>
    <ns0:row r="219" ht="30" customHeight="1">
      <ns0:c r="A219" s="73" t="inlineStr">
        <ns0:is>
          <ns0:t>نان و غلات</ns0:t>
        </ns0:is>
      </ns0:c>
      <ns0:c r="B219" s="75">
        <ns0:f>MAX('کوهرت 1392'!B27,'کوهرت 1393'!B27,'کوهرت 1394'!B27,'کوهرت 1397'!B27,'کوهرت 1398'!B27,'کوهرت 1399'!B27,'کوهرت 1400'!B27,'کوهرت 1401'!B27)-MIN('کوهرت 1392'!B27,'کوهرت 1393'!B27,'کوهرت 1394'!B27,'کوهرت 1397'!B27,'کوهرت 1398'!B27,'کوهرت 1399'!B27,'کوهرت 1400'!B27,'کوهرت 1401'!B27)</ns0:f>
        <ns0:v>0.08899914146135668</ns0:v>
      </ns0:c>
      <ns0:c r="C219" s="74">
        <ns0:f>MAX('کوهرت 1392'!C27,'کوهرت 1393'!C27,'کوهرت 1394'!C27,'کوهرت 1397'!C27,'کوهرت 1398'!C27,'کوهرت 1399'!C27,'کوهرت 1400'!C27,'کوهرت 1401'!C27)-MIN('کوهرت 1392'!C27,'کوهرت 1393'!C27,'کوهرت 1394'!C27,'کوهرت 1397'!C27,'کوهرت 1398'!C27,'کوهرت 1399'!C27,'کوهرت 1400'!C27,'کوهرت 1401'!C27)</ns0:f>
        <ns0:v>0.2171509563592282</ns0:v>
      </ns0:c>
      <ns0:c r="D219" s="75">
        <ns0:f>MAX('کوهرت 1392'!D27,'کوهرت 1393'!D27,'کوهرت 1394'!D27,'کوهرت 1397'!D27,'کوهرت 1398'!D27,'کوهرت 1399'!D27,'کوهرت 1400'!D27,'کوهرت 1401'!D27)-MIN('کوهرت 1392'!D27,'کوهرت 1393'!D27,'کوهرت 1394'!D27,'کوهرت 1397'!D27,'کوهرت 1398'!D27,'کوهرت 1399'!D27,'کوهرت 1400'!D27,'کوهرت 1401'!D27)</ns0:f>
        <ns0:v>0.23071581794999954</ns0:v>
      </ns0:c>
      <ns0:c r="E219" s="75">
        <ns0:f>MAX('کوهرت 1392'!E27,'کوهرت 1393'!E27,'کوهرت 1394'!E27,'کوهرت 1397'!E27,'کوهرت 1398'!E27,'کوهرت 1399'!E27,'کوهرت 1400'!E27,'کوهرت 1401'!E27)-MIN('کوهرت 1392'!E27,'کوهرت 1393'!E27,'کوهرت 1394'!E27,'کوهرت 1397'!E27,'کوهرت 1398'!E27,'کوهرت 1399'!E27,'کوهرت 1400'!E27,'کوهرت 1401'!E27)</ns0:f>
        <ns0:v>0.06279278179872683</ns0:v>
      </ns0:c>
      <ns0:c r="F219" s="75">
        <ns0:f>MAX('کوهرت 1392'!F27,'کوهرت 1393'!F27,'کوهرت 1394'!F27,'کوهرت 1397'!F27,'کوهرت 1398'!F27,'کوهرت 1399'!F27,'کوهرت 1400'!F27,'کوهرت 1401'!F27)-MIN('کوهرت 1392'!F27,'کوهرت 1393'!F27,'کوهرت 1394'!F27,'کوهرت 1397'!F27,'کوهرت 1398'!F27,'کوهرت 1399'!F27,'کوهرت 1400'!F27,'کوهرت 1401'!F27)</ns0:f>
        <ns0:v>0.03964478158090508</ns0:v>
      </ns0:c>
      <ns0:c r="G219" s="75">
        <ns0:f>MAX('کوهرت 1392'!G27,'کوهرت 1393'!G27,'کوهرت 1394'!G27,'کوهرت 1397'!G27,'کوهرت 1398'!G27,'کوهرت 1399'!G27,'کوهرت 1400'!G27,'کوهرت 1401'!G27)-MIN('کوهرت 1392'!G27,'کوهرت 1393'!G27,'کوهرت 1394'!G27,'کوهرت 1397'!G27,'کوهرت 1398'!G27,'کوهرت 1399'!G27,'کوهرت 1400'!G27,'کوهرت 1401'!G27)</ns0:f>
        <ns0:v>0.03386909183917111</ns0:v>
      </ns0:c>
      <ns0:c r="H219" s="75">
        <ns0:f>MAX('کوهرت 1392'!H27,'کوهرت 1393'!H27,'کوهرت 1394'!H27,'کوهرت 1397'!H27,'کوهرت 1398'!H27,'کوهرت 1399'!H27,'کوهرت 1400'!H27,'کوهرت 1401'!H27)-MIN('کوهرت 1392'!H27,'کوهرت 1393'!H27,'کوهرت 1394'!H27,'کوهرت 1397'!H27,'کوهرت 1398'!H27,'کوهرت 1399'!H27,'کوهرت 1400'!H27,'کوهرت 1401'!H27)</ns0:f>
        <ns0:v>0.03291668881451554</ns0:v>
      </ns0:c>
      <ns0:c r="I219" s="75">
        <ns0:f>MAX('کوهرت 1392'!I27,'کوهرت 1393'!I27,'کوهرت 1394'!I27,'کوهرت 1397'!I27,'کوهرت 1398'!I27,'کوهرت 1399'!I27,'کوهرت 1400'!I27,'کوهرت 1401'!I27)-MIN('کوهرت 1392'!I27,'کوهرت 1393'!I27,'کوهرت 1394'!I27,'کوهرت 1397'!I27,'کوهرت 1398'!I27,'کوهرت 1399'!I27,'کوهرت 1400'!I27,'کوهرت 1401'!I27)</ns0:f>
        <ns0:v>0.04220429967073683</ns0:v>
      </ns0:c>
      <ns0:c r="J219" s="75">
        <ns0:f>MAX('کوهرت 1392'!J27,'کوهرت 1393'!J27,'کوهرت 1394'!J27,'کوهرت 1397'!J27,'کوهرت 1398'!J27,'کوهرت 1399'!J27,'کوهرت 1400'!J27,'کوهرت 1401'!J27)-MIN('کوهرت 1392'!J27,'کوهرت 1393'!J27,'کوهرت 1394'!J27,'کوهرت 1397'!J27,'کوهرت 1398'!J27,'کوهرت 1399'!J27,'کوهرت 1400'!J27,'کوهرت 1401'!J27)</ns0:f>
        <ns0:v>0.008393333711995146</ns0:v>
      </ns0:c>
      <ns0:c r="K219" s="75">
        <ns0:f>MAX('کوهرت 1392'!K27,'کوهرت 1393'!K27,'کوهرت 1394'!K27,'کوهرت 1397'!K27,'کوهرت 1398'!K27,'کوهرت 1399'!K27,'کوهرت 1400'!K27,'کوهرت 1401'!K27)-MIN('کوهرت 1392'!K27,'کوهرت 1393'!K27,'کوهرت 1394'!K27,'کوهرت 1397'!K27,'کوهرت 1398'!K27,'کوهرت 1399'!K27,'کوهرت 1400'!K27,'کوهرت 1401'!K27)</ns0:f>
        <ns0:v>0.009503780829546556</ns0:v>
      </ns0:c>
      <ns0:c r="L219" s="75">
        <ns0:f>MAX('کوهرت 1392'!L27,'کوهرت 1393'!L27,'کوهرت 1394'!L27,'کوهرت 1397'!L27,'کوهرت 1398'!L27,'کوهرت 1399'!L27,'کوهرت 1400'!L27,'کوهرت 1401'!L27)-MIN('کوهرت 1392'!L27,'کوهرت 1393'!L27,'کوهرت 1394'!L27,'کوهرت 1397'!L27,'کوهرت 1398'!L27,'کوهرت 1399'!L27,'کوهرت 1400'!L27,'کوهرت 1401'!L27)</ns0:f>
        <ns0:v>0.0783316039580226</ns0:v>
      </ns0:c>
      <ns0:c r="M219" s="75">
        <ns0:f>MAX('کوهرت 1392'!M27,'کوهرت 1393'!M27,'کوهرت 1394'!M27,'کوهرت 1397'!M27,'کوهرت 1398'!M27,'کوهرت 1399'!M27,'کوهرت 1400'!M27,'کوهرت 1401'!M27)-MIN('کوهرت 1392'!M27,'کوهرت 1393'!M27,'کوهرت 1394'!M27,'کوهرت 1397'!M27,'کوهرت 1398'!M27,'کوهرت 1399'!M27,'کوهرت 1400'!M27,'کوهرت 1401'!M27)</ns0:f>
        <ns0:v>0.02684560567616147</ns0:v>
      </ns0:c>
    </ns0:row>
    <ns0:row r="220" ht="30" customHeight="1">
      <ns0:c r="A220" s="73" t="inlineStr">
        <ns0:is>
          <ns0:t>گوشت</ns0:t>
        </ns0:is>
      </ns0:c>
      <ns0:c r="B220" s="75">
        <ns0:f>MAX('کوهرت 1392'!B28,'کوهرت 1393'!B28,'کوهرت 1394'!B28,'کوهرت 1397'!B28,'کوهرت 1398'!B28,'کوهرت 1399'!B28,'کوهرت 1400'!B28,'کوهرت 1401'!B28)-MIN('کوهرت 1392'!B28,'کوهرت 1393'!B28,'کوهرت 1394'!B28,'کوهرت 1397'!B28,'کوهرت 1398'!B28,'کوهرت 1399'!B28,'کوهرت 1400'!B28,'کوهرت 1401'!B28)</ns0:f>
        <ns0:v>0.0022692360768118364</ns0:v>
      </ns0:c>
      <ns0:c r="C220" s="75">
        <ns0:f>MAX('کوهرت 1392'!C28,'کوهرت 1393'!C28,'کوهرت 1394'!C28,'کوهرت 1397'!C28,'کوهرت 1398'!C28,'کوهرت 1399'!C28,'کوهرت 1400'!C28,'کوهرت 1401'!C28)-MIN('کوهرت 1392'!C28,'کوهرت 1393'!C28,'کوهرت 1394'!C28,'کوهرت 1397'!C28,'کوهرت 1398'!C28,'کوهرت 1399'!C28,'کوهرت 1400'!C28,'کوهرت 1401'!C28)</ns0:f>
        <ns0:v>0.006979423411307195</ns0:v>
      </ns0:c>
      <ns0:c r="D220" s="74">
        <ns0:f>MAX('کوهرت 1392'!D28,'کوهرت 1393'!D28,'کوهرت 1394'!D28,'کوهرت 1397'!D28,'کوهرت 1398'!D28,'کوهرت 1399'!D28,'کوهرت 1400'!D28,'کوهرت 1401'!D28)-MIN('کوهرت 1392'!D28,'کوهرت 1393'!D28,'کوهرت 1394'!D28,'کوهرت 1397'!D28,'کوهرت 1398'!D28,'کوهرت 1399'!D28,'کوهرت 1400'!D28,'کوهرت 1401'!D28)</ns0:f>
        <ns0:v>0.030691585907079544</ns0:v>
      </ns0:c>
      <ns0:c r="E220" s="75">
        <ns0:f>MAX('کوهرت 1392'!E28,'کوهرت 1393'!E28,'کوهرت 1394'!E28,'کوهرت 1397'!E28,'کوهرت 1398'!E28,'کوهرت 1399'!E28,'کوهرت 1400'!E28,'کوهرت 1401'!E28)-MIN('کوهرت 1392'!E28,'کوهرت 1393'!E28,'کوهرت 1394'!E28,'کوهرت 1397'!E28,'کوهرت 1398'!E28,'کوهرت 1399'!E28,'کوهرت 1400'!E28,'کوهرت 1401'!E28)</ns0:f>
        <ns0:v>0.007099087511463126</ns0:v>
      </ns0:c>
      <ns0:c r="F220" s="75">
        <ns0:f>MAX('کوهرت 1392'!F28,'کوهرت 1393'!F28,'کوهرت 1394'!F28,'کوهرت 1397'!F28,'کوهرت 1398'!F28,'کوهرت 1399'!F28,'کوهرت 1400'!F28,'کوهرت 1401'!F28)-MIN('کوهرت 1392'!F28,'کوهرت 1393'!F28,'کوهرت 1394'!F28,'کوهرت 1397'!F28,'کوهرت 1398'!F28,'کوهرت 1399'!F28,'کوهرت 1400'!F28,'کوهرت 1401'!F28)</ns0:f>
        <ns0:v>0.0074394330730390285</ns0:v>
      </ns0:c>
      <ns0:c r="G220" s="75">
        <ns0:f>MAX('کوهرت 1392'!G28,'کوهرت 1393'!G28,'کوهرت 1394'!G28,'کوهرت 1397'!G28,'کوهرت 1398'!G28,'کوهرت 1399'!G28,'کوهرت 1400'!G28,'کوهرت 1401'!G28)-MIN('کوهرت 1392'!G28,'کوهرت 1393'!G28,'کوهرت 1394'!G28,'کوهرت 1397'!G28,'کوهرت 1398'!G28,'کوهرت 1399'!G28,'کوهرت 1400'!G28,'کوهرت 1401'!G28)</ns0:f>
        <ns0:v>0.0017050799838524873</ns0:v>
      </ns0:c>
      <ns0:c r="H220" s="75">
        <ns0:f>MAX('کوهرت 1392'!H28,'کوهرت 1393'!H28,'کوهرت 1394'!H28,'کوهرت 1397'!H28,'کوهرت 1398'!H28,'کوهرت 1399'!H28,'کوهرت 1400'!H28,'کوهرت 1401'!H28)-MIN('کوهرت 1392'!H28,'کوهرت 1393'!H28,'کوهرت 1394'!H28,'کوهرت 1397'!H28,'کوهرت 1398'!H28,'کوهرت 1399'!H28,'کوهرت 1400'!H28,'کوهرت 1401'!H28)</ns0:f>
        <ns0:v>0.005135438436675244</ns0:v>
      </ns0:c>
      <ns0:c r="I220" s="75">
        <ns0:f>MAX('کوهرت 1392'!I28,'کوهرت 1393'!I28,'کوهرت 1394'!I28,'کوهرت 1397'!I28,'کوهرت 1398'!I28,'کوهرت 1399'!I28,'کوهرت 1400'!I28,'کوهرت 1401'!I28)-MIN('کوهرت 1392'!I28,'کوهرت 1393'!I28,'کوهرت 1394'!I28,'کوهرت 1397'!I28,'کوهرت 1398'!I28,'کوهرت 1399'!I28,'کوهرت 1400'!I28,'کوهرت 1401'!I28)</ns0:f>
        <ns0:v>0.0019948157535616268</ns0:v>
      </ns0:c>
      <ns0:c r="J220" s="75">
        <ns0:f>MAX('کوهرت 1392'!J28,'کوهرت 1393'!J28,'کوهرت 1394'!J28,'کوهرت 1397'!J28,'کوهرت 1398'!J28,'کوهرت 1399'!J28,'کوهرت 1400'!J28,'کوهرت 1401'!J28)-MIN('کوهرت 1392'!J28,'کوهرت 1393'!J28,'کوهرت 1394'!J28,'کوهرت 1397'!J28,'کوهرت 1398'!J28,'کوهرت 1399'!J28,'کوهرت 1400'!J28,'کوهرت 1401'!J28)</ns0:f>
        <ns0:v>0.009828594144372538</ns0:v>
      </ns0:c>
      <ns0:c r="K220" s="75">
        <ns0:f>MAX('کوهرت 1392'!K28,'کوهرت 1393'!K28,'کوهرت 1394'!K28,'کوهرت 1397'!K28,'کوهرت 1398'!K28,'کوهرت 1399'!K28,'کوهرت 1400'!K28,'کوهرت 1401'!K28)-MIN('کوهرت 1392'!K28,'کوهرت 1393'!K28,'کوهرت 1394'!K28,'کوهرت 1397'!K28,'کوهرت 1398'!K28,'کوهرت 1399'!K28,'کوهرت 1400'!K28,'کوهرت 1401'!K28)</ns0:f>
        <ns0:v>0.004357070561008427</ns0:v>
      </ns0:c>
      <ns0:c r="L220" s="75">
        <ns0:f>MAX('کوهرت 1392'!L28,'کوهرت 1393'!L28,'کوهرت 1394'!L28,'کوهرت 1397'!L28,'کوهرت 1398'!L28,'کوهرت 1399'!L28,'کوهرت 1400'!L28,'کوهرت 1401'!L28)-MIN('کوهرت 1392'!L28,'کوهرت 1393'!L28,'کوهرت 1394'!L28,'کوهرت 1397'!L28,'کوهرت 1398'!L28,'کوهرت 1399'!L28,'کوهرت 1400'!L28,'کوهرت 1401'!L28)</ns0:f>
        <ns0:v>0.005198062395548021</ns0:v>
      </ns0:c>
      <ns0:c r="M220" s="75">
        <ns0:f>MAX('کوهرت 1392'!M28,'کوهرت 1393'!M28,'کوهرت 1394'!M28,'کوهرت 1397'!M28,'کوهرت 1398'!M28,'کوهرت 1399'!M28,'کوهرت 1400'!M28,'کوهرت 1401'!M28)-MIN('کوهرت 1392'!M28,'کوهرت 1393'!M28,'کوهرت 1394'!M28,'کوهرت 1397'!M28,'کوهرت 1398'!M28,'کوهرت 1399'!M28,'کوهرت 1400'!M28,'کوهرت 1401'!M28)</ns0:f>
        <ns0:v>0.006873453189522205</ns0:v>
      </ns0:c>
    </ns0:row>
    <ns0:row r="221" ht="30" customHeight="1">
      <ns0:c r="A221" s="73" t="inlineStr">
        <ns0:is>
          <ns0:t>لبنیات و تخم‌مرغ</ns0:t>
        </ns0:is>
      </ns0:c>
      <ns0:c r="B221" s="75">
        <ns0:f>MAX('کوهرت 1392'!B29,'کوهرت 1393'!B29,'کوهرت 1394'!B29,'کوهرت 1397'!B29,'کوهرت 1398'!B29,'کوهرت 1399'!B29,'کوهرت 1400'!B29,'کوهرت 1401'!B29)-MIN('کوهرت 1392'!B29,'کوهرت 1393'!B29,'کوهرت 1394'!B29,'کوهرت 1397'!B29,'کوهرت 1398'!B29,'کوهرت 1399'!B29,'کوهرت 1400'!B29,'کوهرت 1401'!B29)</ns0:f>
        <ns0:v>0.018624135923613255</ns0:v>
      </ns0:c>
      <ns0:c r="C221" s="75">
        <ns0:f>MAX('کوهرت 1392'!C29,'کوهرت 1393'!C29,'کوهرت 1394'!C29,'کوهرت 1397'!C29,'کوهرت 1398'!C29,'کوهرت 1399'!C29,'کوهرت 1400'!C29,'کوهرت 1401'!C29)-MIN('کوهرت 1392'!C29,'کوهرت 1393'!C29,'کوهرت 1394'!C29,'کوهرت 1397'!C29,'کوهرت 1398'!C29,'کوهرت 1399'!C29,'کوهرت 1400'!C29,'کوهرت 1401'!C29)</ns0:f>
        <ns0:v>0.02468540348731932</ns0:v>
      </ns0:c>
      <ns0:c r="D221" s="75">
        <ns0:f>MAX('کوهرت 1392'!D29,'کوهرت 1393'!D29,'کوهرت 1394'!D29,'کوهرت 1397'!D29,'کوهرت 1398'!D29,'کوهرت 1399'!D29,'کوهرت 1400'!D29,'کوهرت 1401'!D29)-MIN('کوهرت 1392'!D29,'کوهرت 1393'!D29,'کوهرت 1394'!D29,'کوهرت 1397'!D29,'کوهرت 1398'!D29,'کوهرت 1399'!D29,'کوهرت 1400'!D29,'کوهرت 1401'!D29)</ns0:f>
        <ns0:v>0.00839670251661833</ns0:v>
      </ns0:c>
      <ns0:c r="E221" s="74">
        <ns0:f>MAX('کوهرت 1392'!E29,'کوهرت 1393'!E29,'کوهرت 1394'!E29,'کوهرت 1397'!E29,'کوهرت 1398'!E29,'کوهرت 1399'!E29,'کوهرت 1400'!E29,'کوهرت 1401'!E29)-MIN('کوهرت 1392'!E29,'کوهرت 1393'!E29,'کوهرت 1394'!E29,'کوهرت 1397'!E29,'کوهرت 1398'!E29,'کوهرت 1399'!E29,'کوهرت 1400'!E29,'کوهرت 1401'!E29)</ns0:f>
        <ns0:v>0.03000258944801204</ns0:v>
      </ns0:c>
      <ns0:c r="F221" s="75">
        <ns0:f>MAX('کوهرت 1392'!F29,'کوهرت 1393'!F29,'کوهرت 1394'!F29,'کوهرت 1397'!F29,'کوهرت 1398'!F29,'کوهرت 1399'!F29,'کوهرت 1400'!F29,'کوهرت 1401'!F29)-MIN('کوهرت 1392'!F29,'کوهرت 1393'!F29,'کوهرت 1394'!F29,'کوهرت 1397'!F29,'کوهرت 1398'!F29,'کوهرت 1399'!F29,'کوهرت 1400'!F29,'کوهرت 1401'!F29)</ns0:f>
        <ns0:v>0.004329450304109855</ns0:v>
      </ns0:c>
      <ns0:c r="G221" s="75">
        <ns0:f>MAX('کوهرت 1392'!G29,'کوهرت 1393'!G29,'کوهرت 1394'!G29,'کوهرت 1397'!G29,'کوهرت 1398'!G29,'کوهرت 1399'!G29,'کوهرت 1400'!G29,'کوهرت 1401'!G29)-MIN('کوهرت 1392'!G29,'کوهرت 1393'!G29,'کوهرت 1394'!G29,'کوهرت 1397'!G29,'کوهرت 1398'!G29,'کوهرت 1399'!G29,'کوهرت 1400'!G29,'کوهرت 1401'!G29)</ns0:f>
        <ns0:v>0.005898274873411144</ns0:v>
      </ns0:c>
      <ns0:c r="H221" s="75">
        <ns0:f>MAX('کوهرت 1392'!H29,'کوهرت 1393'!H29,'کوهرت 1394'!H29,'کوهرت 1397'!H29,'کوهرت 1398'!H29,'کوهرت 1399'!H29,'کوهرت 1400'!H29,'کوهرت 1401'!H29)-MIN('کوهرت 1392'!H29,'کوهرت 1393'!H29,'کوهرت 1394'!H29,'کوهرت 1397'!H29,'کوهرت 1398'!H29,'کوهرت 1399'!H29,'کوهرت 1400'!H29,'کوهرت 1401'!H29)</ns0:f>
        <ns0:v>0.030227225389566098</ns0:v>
      </ns0:c>
      <ns0:c r="I221" s="75">
        <ns0:f>MAX('کوهرت 1392'!I29,'کوهرت 1393'!I29,'کوهرت 1394'!I29,'کوهرت 1397'!I29,'کوهرت 1398'!I29,'کوهرت 1399'!I29,'کوهرت 1400'!I29,'کوهرت 1401'!I29)-MIN('کوهرت 1392'!I29,'کوهرت 1393'!I29,'کوهرت 1394'!I29,'کوهرت 1397'!I29,'کوهرت 1398'!I29,'کوهرت 1399'!I29,'کوهرت 1400'!I29,'کوهرت 1401'!I29)</ns0:f>
        <ns0:v>0.006452596815712162</ns0:v>
      </ns0:c>
      <ns0:c r="J221" s="75">
        <ns0:f>MAX('کوهرت 1392'!J29,'کوهرت 1393'!J29,'کوهرت 1394'!J29,'کوهرت 1397'!J29,'کوهرت 1398'!J29,'کوهرت 1399'!J29,'کوهرت 1400'!J29,'کوهرت 1401'!J29)-MIN('کوهرت 1392'!J29,'کوهرت 1393'!J29,'کوهرت 1394'!J29,'کوهرت 1397'!J29,'کوهرت 1398'!J29,'کوهرت 1399'!J29,'کوهرت 1400'!J29,'کوهرت 1401'!J29)</ns0:f>
        <ns0:v>0.015917033326629984</ns0:v>
      </ns0:c>
      <ns0:c r="K221" s="75">
        <ns0:f>MAX('کوهرت 1392'!K29,'کوهرت 1393'!K29,'کوهرت 1394'!K29,'کوهرت 1397'!K29,'کوهرت 1398'!K29,'کوهرت 1399'!K29,'کوهرت 1400'!K29,'کوهرت 1401'!K29)-MIN('کوهرت 1392'!K29,'کوهرت 1393'!K29,'کوهرت 1394'!K29,'کوهرت 1397'!K29,'کوهرت 1398'!K29,'کوهرت 1399'!K29,'کوهرت 1400'!K29,'کوهرت 1401'!K29)</ns0:f>
        <ns0:v>0.008460934926047596</ns0:v>
      </ns0:c>
      <ns0:c r="L221" s="75">
        <ns0:f>MAX('کوهرت 1392'!L29,'کوهرت 1393'!L29,'کوهرت 1394'!L29,'کوهرت 1397'!L29,'کوهرت 1398'!L29,'کوهرت 1399'!L29,'کوهرت 1400'!L29,'کوهرت 1401'!L29)-MIN('کوهرت 1392'!L29,'کوهرت 1393'!L29,'کوهرت 1394'!L29,'کوهرت 1397'!L29,'کوهرت 1398'!L29,'کوهرت 1399'!L29,'کوهرت 1400'!L29,'کوهرت 1401'!L29)</ns0:f>
        <ns0:v>0.01721533307009944</ns0:v>
      </ns0:c>
      <ns0:c r="M221" s="75">
        <ns0:f>MAX('کوهرت 1392'!M29,'کوهرت 1393'!M29,'کوهرت 1394'!M29,'کوهرت 1397'!M29,'کوهرت 1398'!M29,'کوهرت 1399'!M29,'کوهرت 1400'!M29,'کوهرت 1401'!M29)-MIN('کوهرت 1392'!M29,'کوهرت 1393'!M29,'کوهرت 1394'!M29,'کوهرت 1397'!M29,'کوهرت 1398'!M29,'کوهرت 1399'!M29,'کوهرت 1400'!M29,'کوهرت 1401'!M29)</ns0:f>
        <ns0:v>0.019763547789893768</ns0:v>
      </ns0:c>
    </ns0:row>
    <ns0:row r="222" ht="30" customHeight="1">
      <ns0:c r="A222" s="73" t="inlineStr">
        <ns0:is>
          <ns0:t>روغن و چربی</ns0:t>
        </ns0:is>
      </ns0:c>
      <ns0:c r="B222" s="75">
        <ns0:f>MAX('کوهرت 1392'!B30,'کوهرت 1393'!B30,'کوهرت 1394'!B30,'کوهرت 1397'!B30,'کوهرت 1398'!B30,'کوهرت 1399'!B30,'کوهرت 1400'!B30,'کوهرت 1401'!B30)-MIN('کوهرت 1392'!B30,'کوهرت 1393'!B30,'کوهرت 1394'!B30,'کوهرت 1397'!B30,'کوهرت 1398'!B30,'کوهرت 1399'!B30,'کوهرت 1400'!B30,'کوهرت 1401'!B30)</ns0:f>
        <ns0:v>0.021489429451184105</ns0:v>
      </ns0:c>
      <ns0:c r="C222" s="75">
        <ns0:f>MAX('کوهرت 1392'!C30,'کوهرت 1393'!C30,'کوهرت 1394'!C30,'کوهرت 1397'!C30,'کوهرت 1398'!C30,'کوهرت 1399'!C30,'کوهرت 1400'!C30,'کوهرت 1401'!C30)-MIN('کوهرت 1392'!C30,'کوهرت 1393'!C30,'کوهرت 1394'!C30,'کوهرت 1397'!C30,'کوهرت 1398'!C30,'کوهرت 1399'!C30,'کوهرت 1400'!C30,'کوهرت 1401'!C30)</ns0:f>
        <ns0:v>0.03736832402955328</ns0:v>
      </ns0:c>
      <ns0:c r="D222" s="75">
        <ns0:f>MAX('کوهرت 1392'!D30,'کوهرت 1393'!D30,'کوهرت 1394'!D30,'کوهرت 1397'!D30,'کوهرت 1398'!D30,'کوهرت 1399'!D30,'کوهرت 1400'!D30,'کوهرت 1401'!D30)-MIN('کوهرت 1392'!D30,'کوهرت 1393'!D30,'کوهرت 1394'!D30,'کوهرت 1397'!D30,'کوهرت 1398'!D30,'کوهرت 1399'!D30,'کوهرت 1400'!D30,'کوهرت 1401'!D30)</ns0:f>
        <ns0:v>0.02975076068789287</ns0:v>
      </ns0:c>
      <ns0:c r="E222" s="75">
        <ns0:f>MAX('کوهرت 1392'!E30,'کوهرت 1393'!E30,'کوهرت 1394'!E30,'کوهرت 1397'!E30,'کوهرت 1398'!E30,'کوهرت 1399'!E30,'کوهرت 1400'!E30,'کوهرت 1401'!E30)-MIN('کوهرت 1392'!E30,'کوهرت 1393'!E30,'کوهرت 1394'!E30,'کوهرت 1397'!E30,'کوهرت 1398'!E30,'کوهرت 1399'!E30,'کوهرت 1400'!E30,'کوهرت 1401'!E30)</ns0:f>
        <ns0:v>0.019257660901439655</ns0:v>
      </ns0:c>
      <ns0:c r="F222" s="74">
        <ns0:f>MAX('کوهرت 1392'!F30,'کوهرت 1393'!F30,'کوهرت 1394'!F30,'کوهرت 1397'!F30,'کوهرت 1398'!F30,'کوهرت 1399'!F30,'کوهرت 1400'!F30,'کوهرت 1401'!F30)-MIN('کوهرت 1392'!F30,'کوهرت 1393'!F30,'کوهرت 1394'!F30,'کوهرت 1397'!F30,'کوهرت 1398'!F30,'کوهرت 1399'!F30,'کوهرت 1400'!F30,'کوهرت 1401'!F30)</ns0:f>
        <ns0:v>0.1454138753807276</ns0:v>
      </ns0:c>
      <ns0:c r="G222" s="75">
        <ns0:f>MAX('کوهرت 1392'!G30,'کوهرت 1393'!G30,'کوهرت 1394'!G30,'کوهرت 1397'!G30,'کوهرت 1398'!G30,'کوهرت 1399'!G30,'کوهرت 1400'!G30,'کوهرت 1401'!G30)-MIN('کوهرت 1392'!G30,'کوهرت 1393'!G30,'کوهرت 1394'!G30,'کوهرت 1397'!G30,'کوهرت 1398'!G30,'کوهرت 1399'!G30,'کوهرت 1400'!G30,'کوهرت 1401'!G30)</ns0:f>
        <ns0:v>0.00648094889980675</ns0:v>
      </ns0:c>
      <ns0:c r="H222" s="75">
        <ns0:f>MAX('کوهرت 1392'!H30,'کوهرت 1393'!H30,'کوهرت 1394'!H30,'کوهرت 1397'!H30,'کوهرت 1398'!H30,'کوهرت 1399'!H30,'کوهرت 1400'!H30,'کوهرت 1401'!H30)-MIN('کوهرت 1392'!H30,'کوهرت 1393'!H30,'کوهرت 1394'!H30,'کوهرت 1397'!H30,'کوهرت 1398'!H30,'کوهرت 1399'!H30,'کوهرت 1400'!H30,'کوهرت 1401'!H30)</ns0:f>
        <ns0:v>0.02530256803478175</ns0:v>
      </ns0:c>
      <ns0:c r="I222" s="75">
        <ns0:f>MAX('کوهرت 1392'!I30,'کوهرت 1393'!I30,'کوهرت 1394'!I30,'کوهرت 1397'!I30,'کوهرت 1398'!I30,'کوهرت 1399'!I30,'کوهرت 1400'!I30,'کوهرت 1401'!I30)-MIN('کوهرت 1392'!I30,'کوهرت 1393'!I30,'کوهرت 1394'!I30,'کوهرت 1397'!I30,'کوهرت 1398'!I30,'کوهرت 1399'!I30,'کوهرت 1400'!I30,'کوهرت 1401'!I30)</ns0:f>
        <ns0:v>0.013309740557753552</ns0:v>
      </ns0:c>
      <ns0:c r="J222" s="75">
        <ns0:f>MAX('کوهرت 1392'!J30,'کوهرت 1393'!J30,'کوهرت 1394'!J30,'کوهرت 1397'!J30,'کوهرت 1398'!J30,'کوهرت 1399'!J30,'کوهرت 1400'!J30,'کوهرت 1401'!J30)-MIN('کوهرت 1392'!J30,'کوهرت 1393'!J30,'کوهرت 1394'!J30,'کوهرت 1397'!J30,'کوهرت 1398'!J30,'کوهرت 1399'!J30,'کوهرت 1400'!J30,'کوهرت 1401'!J30)</ns0:f>
        <ns0:v>0.018932788853055868</ns0:v>
      </ns0:c>
      <ns0:c r="K222" s="75">
        <ns0:f>MAX('کوهرت 1392'!K30,'کوهرت 1393'!K30,'کوهرت 1394'!K30,'کوهرت 1397'!K30,'کوهرت 1398'!K30,'کوهرت 1399'!K30,'کوهرت 1400'!K30,'کوهرت 1401'!K30)-MIN('کوهرت 1392'!K30,'کوهرت 1393'!K30,'کوهرت 1394'!K30,'کوهرت 1397'!K30,'کوهرت 1398'!K30,'کوهرت 1399'!K30,'کوهرت 1400'!K30,'کوهرت 1401'!K30)</ns0:f>
        <ns0:v>0.0056734963574660395</ns0:v>
      </ns0:c>
      <ns0:c r="L222" s="75">
        <ns0:f>MAX('کوهرت 1392'!L30,'کوهرت 1393'!L30,'کوهرت 1394'!L30,'کوهرت 1397'!L30,'کوهرت 1398'!L30,'کوهرت 1399'!L30,'کوهرت 1400'!L30,'کوهرت 1401'!L30)-MIN('کوهرت 1392'!L30,'کوهرت 1393'!L30,'کوهرت 1394'!L30,'کوهرت 1397'!L30,'کوهرت 1398'!L30,'کوهرت 1399'!L30,'کوهرت 1400'!L30,'کوهرت 1401'!L30)</ns0:f>
        <ns0:v>0.013035104755374255</ns0:v>
      </ns0:c>
      <ns0:c r="M222" s="75">
        <ns0:f>MAX('کوهرت 1392'!M30,'کوهرت 1393'!M30,'کوهرت 1394'!M30,'کوهرت 1397'!M30,'کوهرت 1398'!M30,'کوهرت 1399'!M30,'کوهرت 1400'!M30,'کوهرت 1401'!M30)-MIN('کوهرت 1392'!M30,'کوهرت 1393'!M30,'کوهرت 1394'!M30,'کوهرت 1397'!M30,'کوهرت 1398'!M30,'کوهرت 1399'!M30,'کوهرت 1400'!M30,'کوهرت 1401'!M30)</ns0:f>
        <ns0:v>0.007352957689094029</ns0:v>
      </ns0:c>
    </ns0:row>
    <ns0:row r="223" ht="30" customHeight="1">
      <ns0:c r="A223" s="73" t="inlineStr">
        <ns0:is>
          <ns0:t>میوه</ns0:t>
        </ns0:is>
      </ns0:c>
      <ns0:c r="B223" s="75">
        <ns0:f>MAX('کوهرت 1392'!B31,'کوهرت 1393'!B31,'کوهرت 1394'!B31,'کوهرت 1397'!B31,'کوهرت 1398'!B31,'کوهرت 1399'!B31,'کوهرت 1400'!B31,'کوهرت 1401'!B31)-MIN('کوهرت 1392'!B31,'کوهرت 1393'!B31,'کوهرت 1394'!B31,'کوهرت 1397'!B31,'کوهرت 1398'!B31,'کوهرت 1399'!B31,'کوهرت 1400'!B31,'کوهرت 1401'!B31)</ns0:f>
        <ns0:v>0.008946250643257242</ns0:v>
      </ns0:c>
      <ns0:c r="C223" s="75">
        <ns0:f>MAX('کوهرت 1392'!C31,'کوهرت 1393'!C31,'کوهرت 1394'!C31,'کوهرت 1397'!C31,'کوهرت 1398'!C31,'کوهرت 1399'!C31,'کوهرت 1400'!C31,'کوهرت 1401'!C31)-MIN('کوهرت 1392'!C31,'کوهرت 1393'!C31,'کوهرت 1394'!C31,'کوهرت 1397'!C31,'کوهرت 1398'!C31,'کوهرت 1399'!C31,'کوهرت 1400'!C31,'کوهرت 1401'!C31)</ns0:f>
        <ns0:v>0.017266807447679194</ns0:v>
      </ns0:c>
      <ns0:c r="D223" s="75">
        <ns0:f>MAX('کوهرت 1392'!D31,'کوهرت 1393'!D31,'کوهرت 1394'!D31,'کوهرت 1397'!D31,'کوهرت 1398'!D31,'کوهرت 1399'!D31,'کوهرت 1400'!D31,'کوهرت 1401'!D31)-MIN('کوهرت 1392'!D31,'کوهرت 1393'!D31,'کوهرت 1394'!D31,'کوهرت 1397'!D31,'کوهرت 1398'!D31,'کوهرت 1399'!D31,'کوهرت 1400'!D31,'کوهرت 1401'!D31)</ns0:f>
        <ns0:v>0.021305831133487742</ns0:v>
      </ns0:c>
      <ns0:c r="E223" s="75">
        <ns0:f>MAX('کوهرت 1392'!E31,'کوهرت 1393'!E31,'کوهرت 1394'!E31,'کوهرت 1397'!E31,'کوهرت 1398'!E31,'کوهرت 1399'!E31,'کوهرت 1400'!E31,'کوهرت 1401'!E31)-MIN('کوهرت 1392'!E31,'کوهرت 1393'!E31,'کوهرت 1394'!E31,'کوهرت 1397'!E31,'کوهرت 1398'!E31,'کوهرت 1399'!E31,'کوهرت 1400'!E31,'کوهرت 1401'!E31)</ns0:f>
        <ns0:v>0.014134433028658161</ns0:v>
      </ns0:c>
      <ns0:c r="F223" s="75">
        <ns0:f>MAX('کوهرت 1392'!F31,'کوهرت 1393'!F31,'کوهرت 1394'!F31,'کوهرت 1397'!F31,'کوهرت 1398'!F31,'کوهرت 1399'!F31,'کوهرت 1400'!F31,'کوهرت 1401'!F31)-MIN('کوهرت 1392'!F31,'کوهرت 1393'!F31,'کوهرت 1394'!F31,'کوهرت 1397'!F31,'کوهرت 1398'!F31,'کوهرت 1399'!F31,'کوهرت 1400'!F31,'کوهرت 1401'!F31)</ns0:f>
        <ns0:v>0.017472615499646446</ns0:v>
      </ns0:c>
      <ns0:c r="G223" s="74">
        <ns0:f>MAX('کوهرت 1392'!G31,'کوهرت 1393'!G31,'کوهرت 1394'!G31,'کوهرت 1397'!G31,'کوهرت 1398'!G31,'کوهرت 1399'!G31,'کوهرت 1400'!G31,'کوهرت 1401'!G31)-MIN('کوهرت 1392'!G31,'کوهرت 1393'!G31,'کوهرت 1394'!G31,'کوهرت 1397'!G31,'کوهرت 1398'!G31,'کوهرت 1399'!G31,'کوهرت 1400'!G31,'کوهرت 1401'!G31)</ns0:f>
        <ns0:v>0.05243635004212188</ns0:v>
      </ns0:c>
      <ns0:c r="H223" s="75">
        <ns0:f>MAX('کوهرت 1392'!H31,'کوهرت 1393'!H31,'کوهرت 1394'!H31,'کوهرت 1397'!H31,'کوهرت 1398'!H31,'کوهرت 1399'!H31,'کوهرت 1400'!H31,'کوهرت 1401'!H31)-MIN('کوهرت 1392'!H31,'کوهرت 1393'!H31,'کوهرت 1394'!H31,'کوهرت 1397'!H31,'کوهرت 1398'!H31,'کوهرت 1399'!H31,'کوهرت 1400'!H31,'کوهرت 1401'!H31)</ns0:f>
        <ns0:v>0.008934626827036843</ns0:v>
      </ns0:c>
      <ns0:c r="I223" s="75">
        <ns0:f>MAX('کوهرت 1392'!I31,'کوهرت 1393'!I31,'کوهرت 1394'!I31,'کوهرت 1397'!I31,'کوهرت 1398'!I31,'کوهرت 1399'!I31,'کوهرت 1400'!I31,'کوهرت 1401'!I31)-MIN('کوهرت 1392'!I31,'کوهرت 1393'!I31,'کوهرت 1394'!I31,'کوهرت 1397'!I31,'کوهرت 1398'!I31,'کوهرت 1399'!I31,'کوهرت 1400'!I31,'کوهرت 1401'!I31)</ns0:f>
        <ns0:v>0.014861590953832757</ns0:v>
      </ns0:c>
      <ns0:c r="J223" s="75">
        <ns0:f>MAX('کوهرت 1392'!J31,'کوهرت 1393'!J31,'کوهرت 1394'!J31,'کوهرت 1397'!J31,'کوهرت 1398'!J31,'کوهرت 1399'!J31,'کوهرت 1400'!J31,'کوهرت 1401'!J31)-MIN('کوهرت 1392'!J31,'کوهرت 1393'!J31,'کوهرت 1394'!J31,'کوهرت 1397'!J31,'کوهرت 1398'!J31,'کوهرت 1399'!J31,'کوهرت 1400'!J31,'کوهرت 1401'!J31)</ns0:f>
        <ns0:v>0.011931758769631012</ns0:v>
      </ns0:c>
      <ns0:c r="K223" s="75">
        <ns0:f>MAX('کوهرت 1392'!K31,'کوهرت 1393'!K31,'کوهرت 1394'!K31,'کوهرت 1397'!K31,'کوهرت 1398'!K31,'کوهرت 1399'!K31,'کوهرت 1400'!K31,'کوهرت 1401'!K31)-MIN('کوهرت 1392'!K31,'کوهرت 1393'!K31,'کوهرت 1394'!K31,'کوهرت 1397'!K31,'کوهرت 1398'!K31,'کوهرت 1399'!K31,'کوهرت 1400'!K31,'کوهرت 1401'!K31)</ns0:f>
        <ns0:v>0.017030216672319798</ns0:v>
      </ns0:c>
      <ns0:c r="L223" s="75">
        <ns0:f>MAX('کوهرت 1392'!L31,'کوهرت 1393'!L31,'کوهرت 1394'!L31,'کوهرت 1397'!L31,'کوهرت 1398'!L31,'کوهرت 1399'!L31,'کوهرت 1400'!L31,'کوهرت 1401'!L31)-MIN('کوهرت 1392'!L31,'کوهرت 1393'!L31,'کوهرت 1394'!L31,'کوهرت 1397'!L31,'کوهرت 1398'!L31,'کوهرت 1399'!L31,'کوهرت 1400'!L31,'کوهرت 1401'!L31)</ns0:f>
        <ns0:v>0.003933004268895354</ns0:v>
      </ns0:c>
      <ns0:c r="M223" s="75">
        <ns0:f>MAX('کوهرت 1392'!M31,'کوهرت 1393'!M31,'کوهرت 1394'!M31,'کوهرت 1397'!M31,'کوهرت 1398'!M31,'کوهرت 1399'!M31,'کوهرت 1400'!M31,'کوهرت 1401'!M31)-MIN('کوهرت 1392'!M31,'کوهرت 1393'!M31,'کوهرت 1394'!M31,'کوهرت 1397'!M31,'کوهرت 1398'!M31,'کوهرت 1399'!M31,'کوهرت 1400'!M31,'کوهرت 1401'!M31)</ns0:f>
        <ns0:v>0.009399440198299205</ns0:v>
      </ns0:c>
    </ns0:row>
    <ns0:row r="224" ht="30" customHeight="1">
      <ns0:c r="A224" s="73" t="inlineStr">
        <ns0:is>
          <ns0:t>سبزیجات و سیب‌زمینی</ns0:t>
        </ns0:is>
      </ns0:c>
      <ns0:c r="B224" s="75">
        <ns0:f>MAX('کوهرت 1392'!B32,'کوهرت 1393'!B32,'کوهرت 1394'!B32,'کوهرت 1397'!B32,'کوهرت 1398'!B32,'کوهرت 1399'!B32,'کوهرت 1400'!B32,'کوهرت 1401'!B32)-MIN('کوهرت 1392'!B32,'کوهرت 1393'!B32,'کوهرت 1394'!B32,'کوهرت 1397'!B32,'کوهرت 1398'!B32,'کوهرت 1399'!B32,'کوهرت 1400'!B32,'کوهرت 1401'!B32)</ns0:f>
        <ns0:v>0.004210476676586467</ns0:v>
      </ns0:c>
      <ns0:c r="C224" s="75">
        <ns0:f>MAX('کوهرت 1392'!C32,'کوهرت 1393'!C32,'کوهرت 1394'!C32,'کوهرت 1397'!C32,'کوهرت 1398'!C32,'کوهرت 1399'!C32,'کوهرت 1400'!C32,'کوهرت 1401'!C32)-MIN('کوهرت 1392'!C32,'کوهرت 1393'!C32,'کوهرت 1394'!C32,'کوهرت 1397'!C32,'کوهرت 1398'!C32,'کوهرت 1399'!C32,'کوهرت 1400'!C32,'کوهرت 1401'!C32)</ns0:f>
        <ns0:v>0.014608310141463868</ns0:v>
      </ns0:c>
      <ns0:c r="D224" s="75">
        <ns0:f>MAX('کوهرت 1392'!D32,'کوهرت 1393'!D32,'کوهرت 1394'!D32,'کوهرت 1397'!D32,'کوهرت 1398'!D32,'کوهرت 1399'!D32,'کوهرت 1400'!D32,'کوهرت 1401'!D32)-MIN('کوهرت 1392'!D32,'کوهرت 1393'!D32,'کوهرت 1394'!D32,'کوهرت 1397'!D32,'کوهرت 1398'!D32,'کوهرت 1399'!D32,'کوهرت 1400'!D32,'کوهرت 1401'!D32)</ns0:f>
        <ns0:v>0.030220687066934517</ns0:v>
      </ns0:c>
      <ns0:c r="E224" s="75">
        <ns0:f>MAX('کوهرت 1392'!E32,'کوهرت 1393'!E32,'کوهرت 1394'!E32,'کوهرت 1397'!E32,'کوهرت 1398'!E32,'کوهرت 1399'!E32,'کوهرت 1400'!E32,'کوهرت 1401'!E32)-MIN('کوهرت 1392'!E32,'کوهرت 1393'!E32,'کوهرت 1394'!E32,'کوهرت 1397'!E32,'کوهرت 1398'!E32,'کوهرت 1399'!E32,'کوهرت 1400'!E32,'کوهرت 1401'!E32)</ns0:f>
        <ns0:v>0.03843929296911969</ns0:v>
      </ns0:c>
      <ns0:c r="F224" s="75">
        <ns0:f>MAX('کوهرت 1392'!F32,'کوهرت 1393'!F32,'کوهرت 1394'!F32,'کوهرت 1397'!F32,'کوهرت 1398'!F32,'کوهرت 1399'!F32,'کوهرت 1400'!F32,'کوهرت 1401'!F32)-MIN('کوهرت 1392'!F32,'کوهرت 1393'!F32,'کوهرت 1394'!F32,'کوهرت 1397'!F32,'کوهرت 1398'!F32,'کوهرت 1399'!F32,'کوهرت 1400'!F32,'کوهرت 1401'!F32)</ns0:f>
        <ns0:v>0.0048588592533741455</ns0:v>
      </ns0:c>
      <ns0:c r="G224" s="75">
        <ns0:f>MAX('کوهرت 1392'!G32,'کوهرت 1393'!G32,'کوهرت 1394'!G32,'کوهرت 1397'!G32,'کوهرت 1398'!G32,'کوهرت 1399'!G32,'کوهرت 1400'!G32,'کوهرت 1401'!G32)-MIN('کوهرت 1392'!G32,'کوهرت 1393'!G32,'کوهرت 1394'!G32,'کوهرت 1397'!G32,'کوهرت 1398'!G32,'کوهرت 1399'!G32,'کوهرت 1400'!G32,'کوهرت 1401'!G32)</ns0:f>
        <ns0:v>0.014907031517416444</ns0:v>
      </ns0:c>
      <ns0:c r="H224" s="74">
        <ns0:f>MAX('کوهرت 1392'!H32,'کوهرت 1393'!H32,'کوهرت 1394'!H32,'کوهرت 1397'!H32,'کوهرت 1398'!H32,'کوهرت 1399'!H32,'کوهرت 1400'!H32,'کوهرت 1401'!H32)-MIN('کوهرت 1392'!H32,'کوهرت 1393'!H32,'کوهرت 1394'!H32,'کوهرت 1397'!H32,'کوهرت 1398'!H32,'کوهرت 1399'!H32,'کوهرت 1400'!H32,'کوهرت 1401'!H32)</ns0:f>
        <ns0:v>0.12692677899023785</ns0:v>
      </ns0:c>
      <ns0:c r="I224" s="75">
        <ns0:f>MAX('کوهرت 1392'!I32,'کوهرت 1393'!I32,'کوهرت 1394'!I32,'کوهرت 1397'!I32,'کوهرت 1398'!I32,'کوهرت 1399'!I32,'کوهرت 1400'!I32,'کوهرت 1401'!I32)-MIN('کوهرت 1392'!I32,'کوهرت 1393'!I32,'کوهرت 1394'!I32,'کوهرت 1397'!I32,'کوهرت 1398'!I32,'کوهرت 1399'!I32,'کوهرت 1400'!I32,'کوهرت 1401'!I32)</ns0:f>
        <ns0:v>0.0031260475652591913</ns0:v>
      </ns0:c>
      <ns0:c r="J224" s="75">
        <ns0:f>MAX('کوهرت 1392'!J32,'کوهرت 1393'!J32,'کوهرت 1394'!J32,'کوهرت 1397'!J32,'کوهرت 1398'!J32,'کوهرت 1399'!J32,'کوهرت 1400'!J32,'کوهرت 1401'!J32)-MIN('کوهرت 1392'!J32,'کوهرت 1393'!J32,'کوهرت 1394'!J32,'کوهرت 1397'!J32,'کوهرت 1398'!J32,'کوهرت 1399'!J32,'کوهرت 1400'!J32,'کوهرت 1401'!J32)</ns0:f>
        <ns0:v>0.00779022859808353</ns0:v>
      </ns0:c>
      <ns0:c r="K224" s="75">
        <ns0:f>MAX('کوهرت 1392'!K32,'کوهرت 1393'!K32,'کوهرت 1394'!K32,'کوهرت 1397'!K32,'کوهرت 1398'!K32,'کوهرت 1399'!K32,'کوهرت 1400'!K32,'کوهرت 1401'!K32)-MIN('کوهرت 1392'!K32,'کوهرت 1393'!K32,'کوهرت 1394'!K32,'کوهرت 1397'!K32,'کوهرت 1398'!K32,'کوهرت 1399'!K32,'کوهرت 1400'!K32,'کوهرت 1401'!K32)</ns0:f>
        <ns0:v>0.017528810464551778</ns0:v>
      </ns0:c>
      <ns0:c r="L224" s="75">
        <ns0:f>MAX('کوهرت 1392'!L32,'کوهرت 1393'!L32,'کوهرت 1394'!L32,'کوهرت 1397'!L32,'کوهرت 1398'!L32,'کوهرت 1399'!L32,'کوهرت 1400'!L32,'کوهرت 1401'!L32)-MIN('کوهرت 1392'!L32,'کوهرت 1393'!L32,'کوهرت 1394'!L32,'کوهرت 1397'!L32,'کوهرت 1398'!L32,'کوهرت 1399'!L32,'کوهرت 1400'!L32,'کوهرت 1401'!L32)</ns0:f>
        <ns0:v>0.016369322289778644</ns0:v>
      </ns0:c>
      <ns0:c r="M224" s="75">
        <ns0:f>MAX('کوهرت 1392'!M32,'کوهرت 1393'!M32,'کوهرت 1394'!M32,'کوهرت 1397'!M32,'کوهرت 1398'!M32,'کوهرت 1399'!M32,'کوهرت 1400'!M32,'کوهرت 1401'!M32)-MIN('کوهرت 1392'!M32,'کوهرت 1393'!M32,'کوهرت 1394'!M32,'کوهرت 1397'!M32,'کوهرت 1398'!M32,'کوهرت 1399'!M32,'کوهرت 1400'!M32,'کوهرت 1401'!M32)</ns0:f>
        <ns0:v>0.009632909974309566</ns0:v>
      </ns0:c>
    </ns0:row>
    <ns0:row r="225" ht="30" customHeight="1">
      <ns0:c r="A225" s="73" t="inlineStr">
        <ns0:is>
          <ns0:t>حبوبات</ns0:t>
        </ns0:is>
      </ns0:c>
      <ns0:c r="B225" s="75">
        <ns0:f>MAX('کوهرت 1392'!B33,'کوهرت 1393'!B33,'کوهرت 1394'!B33,'کوهرت 1397'!B33,'کوهرت 1398'!B33,'کوهرت 1399'!B33,'کوهرت 1400'!B33,'کوهرت 1401'!B33)-MIN('کوهرت 1392'!B33,'کوهرت 1393'!B33,'کوهرت 1394'!B33,'کوهرت 1397'!B33,'کوهرت 1398'!B33,'کوهرت 1399'!B33,'کوهرت 1400'!B33,'کوهرت 1401'!B33)</ns0:f>
        <ns0:v>0.010192104543314776</ns0:v>
      </ns0:c>
      <ns0:c r="C225" s="75">
        <ns0:f>MAX('کوهرت 1392'!C33,'کوهرت 1393'!C33,'کوهرت 1394'!C33,'کوهرت 1397'!C33,'کوهرت 1398'!C33,'کوهرت 1399'!C33,'کوهرت 1400'!C33,'کوهرت 1401'!C33)-MIN('کوهرت 1392'!C33,'کوهرت 1393'!C33,'کوهرت 1394'!C33,'کوهرت 1397'!C33,'کوهرت 1398'!C33,'کوهرت 1399'!C33,'کوهرت 1400'!C33,'کوهرت 1401'!C33)</ns0:f>
        <ns0:v>0.03166411186808888</ns0:v>
      </ns0:c>
      <ns0:c r="D225" s="75">
        <ns0:f>MAX('کوهرت 1392'!D33,'کوهرت 1393'!D33,'کوهرت 1394'!D33,'کوهرت 1397'!D33,'کوهرت 1398'!D33,'کوهرت 1399'!D33,'کوهرت 1400'!D33,'کوهرت 1401'!D33)-MIN('کوهرت 1392'!D33,'کوهرت 1393'!D33,'کوهرت 1394'!D33,'کوهرت 1397'!D33,'کوهرت 1398'!D33,'کوهرت 1399'!D33,'کوهرت 1400'!D33,'کوهرت 1401'!D33)</ns0:f>
        <ns0:v>0.01140545534830354</ns0:v>
      </ns0:c>
      <ns0:c r="E225" s="75">
        <ns0:f>MAX('کوهرت 1392'!E33,'کوهرت 1393'!E33,'کوهرت 1394'!E33,'کوهرت 1397'!E33,'کوهرت 1398'!E33,'کوهرت 1399'!E33,'کوهرت 1400'!E33,'کوهرت 1401'!E33)-MIN('کوهرت 1392'!E33,'کوهرت 1393'!E33,'کوهرت 1394'!E33,'کوهرت 1397'!E33,'کوهرت 1398'!E33,'کوهرت 1399'!E33,'کوهرت 1400'!E33,'کوهرت 1401'!E33)</ns0:f>
        <ns0:v>0.018123360054609544</ns0:v>
      </ns0:c>
      <ns0:c r="F225" s="75">
        <ns0:f>MAX('کوهرت 1392'!F33,'کوهرت 1393'!F33,'کوهرت 1394'!F33,'کوهرت 1397'!F33,'کوهرت 1398'!F33,'کوهرت 1399'!F33,'کوهرت 1400'!F33,'کوهرت 1401'!F33)-MIN('کوهرت 1392'!F33,'کوهرت 1393'!F33,'کوهرت 1394'!F33,'کوهرت 1397'!F33,'کوهرت 1398'!F33,'کوهرت 1399'!F33,'کوهرت 1400'!F33,'کوهرت 1401'!F33)</ns0:f>
        <ns0:v>0.010646667220052267</ns0:v>
      </ns0:c>
      <ns0:c r="G225" s="75">
        <ns0:f>MAX('کوهرت 1392'!G33,'کوهرت 1393'!G33,'کوهرت 1394'!G33,'کوهرت 1397'!G33,'کوهرت 1398'!G33,'کوهرت 1399'!G33,'کوهرت 1400'!G33,'کوهرت 1401'!G33)-MIN('کوهرت 1392'!G33,'کوهرت 1393'!G33,'کوهرت 1394'!G33,'کوهرت 1397'!G33,'کوهرت 1398'!G33,'کوهرت 1399'!G33,'کوهرت 1400'!G33,'کوهرت 1401'!G33)</ns0:f>
        <ns0:v>0.011697150410960942</ns0:v>
      </ns0:c>
      <ns0:c r="H225" s="75">
        <ns0:f>MAX('کوهرت 1392'!H33,'کوهرت 1393'!H33,'کوهرت 1394'!H33,'کوهرت 1397'!H33,'کوهرت 1398'!H33,'کوهرت 1399'!H33,'کوهرت 1400'!H33,'کوهرت 1401'!H33)-MIN('کوهرت 1392'!H33,'کوهرت 1393'!H33,'کوهرت 1394'!H33,'کوهرت 1397'!H33,'کوهرت 1398'!H33,'کوهرت 1399'!H33,'کوهرت 1400'!H33,'کوهرت 1401'!H33)</ns0:f>
        <ns0:v>0.021906457464537968</ns0:v>
      </ns0:c>
      <ns0:c r="I225" s="74">
        <ns0:f>MAX('کوهرت 1392'!I33,'کوهرت 1393'!I33,'کوهرت 1394'!I33,'کوهرت 1397'!I33,'کوهرت 1398'!I33,'کوهرت 1399'!I33,'کوهرت 1400'!I33,'کوهرت 1401'!I33)-MIN('کوهرت 1392'!I33,'کوهرت 1393'!I33,'کوهرت 1394'!I33,'کوهرت 1397'!I33,'کوهرت 1398'!I33,'کوهرت 1399'!I33,'کوهرت 1400'!I33,'کوهرت 1401'!I33)</ns0:f>
        <ns0:v>0.02619410823969537</ns0:v>
      </ns0:c>
      <ns0:c r="J225" s="75">
        <ns0:f>MAX('کوهرت 1392'!J33,'کوهرت 1393'!J33,'کوهرت 1394'!J33,'کوهرت 1397'!J33,'کوهرت 1398'!J33,'کوهرت 1399'!J33,'کوهرت 1400'!J33,'کوهرت 1401'!J33)-MIN('کوهرت 1392'!J33,'کوهرت 1393'!J33,'کوهرت 1394'!J33,'کوهرت 1397'!J33,'کوهرت 1398'!J33,'کوهرت 1399'!J33,'کوهرت 1400'!J33,'کوهرت 1401'!J33)</ns0:f>
        <ns0:v>0.007354166190248701</ns0:v>
      </ns0:c>
      <ns0:c r="K225" s="75">
        <ns0:f>MAX('کوهرت 1392'!K33,'کوهرت 1393'!K33,'کوهرت 1394'!K33,'کوهرت 1397'!K33,'کوهرت 1398'!K33,'کوهرت 1399'!K33,'کوهرت 1400'!K33,'کوهرت 1401'!K33)-MIN('کوهرت 1392'!K33,'کوهرت 1393'!K33,'کوهرت 1394'!K33,'کوهرت 1397'!K33,'کوهرت 1398'!K33,'کوهرت 1399'!K33,'کوهرت 1400'!K33,'کوهرت 1401'!K33)</ns0:f>
        <ns0:v>0.024321638658969413</ns0:v>
      </ns0:c>
      <ns0:c r="L225" s="75">
        <ns0:f>MAX('کوهرت 1392'!L33,'کوهرت 1393'!L33,'کوهرت 1394'!L33,'کوهرت 1397'!L33,'کوهرت 1398'!L33,'کوهرت 1399'!L33,'کوهرت 1400'!L33,'کوهرت 1401'!L33)-MIN('کوهرت 1392'!L33,'کوهرت 1393'!L33,'کوهرت 1394'!L33,'کوهرت 1397'!L33,'کوهرت 1398'!L33,'کوهرت 1399'!L33,'کوهرت 1400'!L33,'کوهرت 1401'!L33)</ns0:f>
        <ns0:v>0.009878603164311415</ns0:v>
      </ns0:c>
      <ns0:c r="M225" s="75">
        <ns0:f>MAX('کوهرت 1392'!M33,'کوهرت 1393'!M33,'کوهرت 1394'!M33,'کوهرت 1397'!M33,'کوهرت 1398'!M33,'کوهرت 1399'!M33,'کوهرت 1400'!M33,'کوهرت 1401'!M33)-MIN('کوهرت 1392'!M33,'کوهرت 1393'!M33,'کوهرت 1394'!M33,'کوهرت 1397'!M33,'کوهرت 1398'!M33,'کوهرت 1399'!M33,'کوهرت 1400'!M33,'کوهرت 1401'!M33)</ns0:f>
        <ns0:v>0.0021466756498789434</ns0:v>
      </ns0:c>
    </ns0:row>
    <ns0:row r="226" ht="30" customHeight="1">
      <ns0:c r="A226" s="73" t="inlineStr">
        <ns0:is>
          <ns0:t>مغزها، خشکبار و خرما</ns0:t>
        </ns0:is>
      </ns0:c>
      <ns0:c r="B226" s="75">
        <ns0:f>MAX('کوهرت 1392'!B34,'کوهرت 1393'!B34,'کوهرت 1394'!B34,'کوهرت 1397'!B34,'کوهرت 1398'!B34,'کوهرت 1399'!B34,'کوهرت 1400'!B34,'کوهرت 1401'!B34)-MIN('کوهرت 1392'!B34,'کوهرت 1393'!B34,'کوهرت 1394'!B34,'کوهرت 1397'!B34,'کوهرت 1398'!B34,'کوهرت 1399'!B34,'کوهرت 1400'!B34,'کوهرت 1401'!B34)</ns0:f>
        <ns0:v>0.023061088466976243</ns0:v>
      </ns0:c>
      <ns0:c r="C226" s="75">
        <ns0:f>MAX('کوهرت 1392'!C34,'کوهرت 1393'!C34,'کوهرت 1394'!C34,'کوهرت 1397'!C34,'کوهرت 1398'!C34,'کوهرت 1399'!C34,'کوهرت 1400'!C34,'کوهرت 1401'!C34)-MIN('کوهرت 1392'!C34,'کوهرت 1393'!C34,'کوهرت 1394'!C34,'کوهرت 1397'!C34,'کوهرت 1398'!C34,'کوهرت 1399'!C34,'کوهرت 1400'!C34,'کوهرت 1401'!C34)</ns0:f>
        <ns0:v>0.039001243576191565</ns0:v>
      </ns0:c>
      <ns0:c r="D226" s="75">
        <ns0:f>MAX('کوهرت 1392'!D34,'کوهرت 1393'!D34,'کوهرت 1394'!D34,'کوهرت 1397'!D34,'کوهرت 1398'!D34,'کوهرت 1399'!D34,'کوهرت 1400'!D34,'کوهرت 1401'!D34)-MIN('کوهرت 1392'!D34,'کوهرت 1393'!D34,'کوهرت 1394'!D34,'کوهرت 1397'!D34,'کوهرت 1398'!D34,'کوهرت 1399'!D34,'کوهرت 1400'!D34,'کوهرت 1401'!D34)</ns0:f>
        <ns0:v>0.12678844593231003</ns0:v>
      </ns0:c>
      <ns0:c r="E226" s="75">
        <ns0:f>MAX('کوهرت 1392'!E34,'کوهرت 1393'!E34,'کوهرت 1394'!E34,'کوهرت 1397'!E34,'کوهرت 1398'!E34,'کوهرت 1399'!E34,'کوهرت 1400'!E34,'کوهرت 1401'!E34)-MIN('کوهرت 1392'!E34,'کوهرت 1393'!E34,'کوهرت 1394'!E34,'کوهرت 1397'!E34,'کوهرت 1398'!E34,'کوهرت 1399'!E34,'کوهرت 1400'!E34,'کوهرت 1401'!E34)</ns0:f>
        <ns0:v>0.038520074767809734</ns0:v>
      </ns0:c>
      <ns0:c r="F226" s="75">
        <ns0:f>MAX('کوهرت 1392'!F34,'کوهرت 1393'!F34,'کوهرت 1394'!F34,'کوهرت 1397'!F34,'کوهرت 1398'!F34,'کوهرت 1399'!F34,'کوهرت 1400'!F34,'کوهرت 1401'!F34)-MIN('کوهرت 1392'!F34,'کوهرت 1393'!F34,'کوهرت 1394'!F34,'کوهرت 1397'!F34,'کوهرت 1398'!F34,'کوهرت 1399'!F34,'کوهرت 1400'!F34,'کوهرت 1401'!F34)</ns0:f>
        <ns0:v>0.021508668790089707</ns0:v>
      </ns0:c>
      <ns0:c r="G226" s="75">
        <ns0:f>MAX('کوهرت 1392'!G34,'کوهرت 1393'!G34,'کوهرت 1394'!G34,'کوهرت 1397'!G34,'کوهرت 1398'!G34,'کوهرت 1399'!G34,'کوهرت 1400'!G34,'کوهرت 1401'!G34)-MIN('کوهرت 1392'!G34,'کوهرت 1393'!G34,'کوهرت 1394'!G34,'کوهرت 1397'!G34,'کوهرت 1398'!G34,'کوهرت 1399'!G34,'کوهرت 1400'!G34,'کوهرت 1401'!G34)</ns0:f>
        <ns0:v>0.06189874015313543</ns0:v>
      </ns0:c>
      <ns0:c r="H226" s="75">
        <ns0:f>MAX('کوهرت 1392'!H34,'کوهرت 1393'!H34,'کوهرت 1394'!H34,'کوهرت 1397'!H34,'کوهرت 1398'!H34,'کوهرت 1399'!H34,'کوهرت 1400'!H34,'کوهرت 1401'!H34)-MIN('کوهرت 1392'!H34,'کوهرت 1393'!H34,'کوهرت 1394'!H34,'کوهرت 1397'!H34,'کوهرت 1398'!H34,'کوهرت 1399'!H34,'کوهرت 1400'!H34,'کوهرت 1401'!H34)</ns0:f>
        <ns0:v>0.0349659897048151</ns0:v>
      </ns0:c>
      <ns0:c r="I226" s="75">
        <ns0:f>MAX('کوهرت 1392'!I34,'کوهرت 1393'!I34,'کوهرت 1394'!I34,'کوهرت 1397'!I34,'کوهرت 1398'!I34,'کوهرت 1399'!I34,'کوهرت 1400'!I34,'کوهرت 1401'!I34)-MIN('کوهرت 1392'!I34,'کوهرت 1393'!I34,'کوهرت 1394'!I34,'کوهرت 1397'!I34,'کوهرت 1398'!I34,'کوهرت 1399'!I34,'کوهرت 1400'!I34,'کوهرت 1401'!I34)</ns0:f>
        <ns0:v>0.05090417478912876</ns0:v>
      </ns0:c>
      <ns0:c r="J226" s="74">
        <ns0:f>MAX('کوهرت 1392'!J34,'کوهرت 1393'!J34,'کوهرت 1394'!J34,'کوهرت 1397'!J34,'کوهرت 1398'!J34,'کوهرت 1399'!J34,'کوهرت 1400'!J34,'کوهرت 1401'!J34)-MIN('کوهرت 1392'!J34,'کوهرت 1393'!J34,'کوهرت 1394'!J34,'کوهرت 1397'!J34,'کوهرت 1398'!J34,'کوهرت 1399'!J34,'کوهرت 1400'!J34,'کوهرت 1401'!J34)</ns0:f>
        <ns0:v>0.0683820477140652</ns0:v>
      </ns0:c>
      <ns0:c r="K226" s="75">
        <ns0:f>MAX('کوهرت 1392'!K34,'کوهرت 1393'!K34,'کوهرت 1394'!K34,'کوهرت 1397'!K34,'کوهرت 1398'!K34,'کوهرت 1399'!K34,'کوهرت 1400'!K34,'کوهرت 1401'!K34)-MIN('کوهرت 1392'!K34,'کوهرت 1393'!K34,'کوهرت 1394'!K34,'کوهرت 1397'!K34,'کوهرت 1398'!K34,'کوهرت 1399'!K34,'کوهرت 1400'!K34,'کوهرت 1401'!K34)</ns0:f>
        <ns0:v>0.037843106816904504</ns0:v>
      </ns0:c>
      <ns0:c r="L226" s="75">
        <ns0:f>MAX('کوهرت 1392'!L34,'کوهرت 1393'!L34,'کوهرت 1394'!L34,'کوهرت 1397'!L34,'کوهرت 1398'!L34,'کوهرت 1399'!L34,'کوهرت 1400'!L34,'کوهرت 1401'!L34)-MIN('کوهرت 1392'!L34,'کوهرت 1393'!L34,'کوهرت 1394'!L34,'کوهرت 1397'!L34,'کوهرت 1398'!L34,'کوهرت 1399'!L34,'کوهرت 1400'!L34,'کوهرت 1401'!L34)</ns0:f>
        <ns0:v>0.04304294919517759</ns0:v>
      </ns0:c>
      <ns0:c r="M226" s="75">
        <ns0:f>MAX('کوهرت 1392'!M34,'کوهرت 1393'!M34,'کوهرت 1394'!M34,'کوهرت 1397'!M34,'کوهرت 1398'!M34,'کوهرت 1399'!M34,'کوهرت 1400'!M34,'کوهرت 1401'!M34)-MIN('کوهرت 1392'!M34,'کوهرت 1393'!M34,'کوهرت 1394'!M34,'کوهرت 1397'!M34,'کوهرت 1398'!M34,'کوهرت 1399'!M34,'کوهرت 1400'!M34,'کوهرت 1401'!M34)</ns0:f>
        <ns0:v>0.06398078550437475</ns0:v>
      </ns0:c>
    </ns0:row>
    <ns0:row r="227" ht="30" customHeight="1">
      <ns0:c r="A227" s="73" t="inlineStr">
        <ns0:is>
          <ns0:t>قند، شیرینی و تنقلات</ns0:t>
        </ns0:is>
      </ns0:c>
      <ns0:c r="B227" s="75">
        <ns0:f>MAX('کوهرت 1392'!B35,'کوهرت 1393'!B35,'کوهرت 1394'!B35,'کوهرت 1397'!B35,'کوهرت 1398'!B35,'کوهرت 1399'!B35,'کوهرت 1400'!B35,'کوهرت 1401'!B35)-MIN('کوهرت 1392'!B35,'کوهرت 1393'!B35,'کوهرت 1394'!B35,'کوهرت 1397'!B35,'کوهرت 1398'!B35,'کوهرت 1399'!B35,'کوهرت 1400'!B35,'کوهرت 1401'!B35)</ns0:f>
        <ns0:v>0.016252518568210514</ns0:v>
      </ns0:c>
      <ns0:c r="C227" s="75">
        <ns0:f>MAX('کوهرت 1392'!C35,'کوهرت 1393'!C35,'کوهرت 1394'!C35,'کوهرت 1397'!C35,'کوهرت 1398'!C35,'کوهرت 1399'!C35,'کوهرت 1400'!C35,'کوهرت 1401'!C35)-MIN('کوهرت 1392'!C35,'کوهرت 1393'!C35,'کوهرت 1394'!C35,'کوهرت 1397'!C35,'کوهرت 1398'!C35,'کوهرت 1399'!C35,'کوهرت 1400'!C35,'کوهرت 1401'!C35)</ns0:f>
        <ns0:v>0.017496166189208205</ns0:v>
      </ns0:c>
      <ns0:c r="D227" s="75">
        <ns0:f>MAX('کوهرت 1392'!D35,'کوهرت 1393'!D35,'کوهرت 1394'!D35,'کوهرت 1397'!D35,'کوهرت 1398'!D35,'کوهرت 1399'!D35,'کوهرت 1400'!D35,'کوهرت 1401'!D35)-MIN('کوهرت 1392'!D35,'کوهرت 1393'!D35,'کوهرت 1394'!D35,'کوهرت 1397'!D35,'کوهرت 1398'!D35,'کوهرت 1399'!D35,'کوهرت 1400'!D35,'کوهرت 1401'!D35)</ns0:f>
        <ns0:v>0.026728490907183322</ns0:v>
      </ns0:c>
      <ns0:c r="E227" s="75">
        <ns0:f>MAX('کوهرت 1392'!E35,'کوهرت 1393'!E35,'کوهرت 1394'!E35,'کوهرت 1397'!E35,'کوهرت 1398'!E35,'کوهرت 1399'!E35,'کوهرت 1400'!E35,'کوهرت 1401'!E35)-MIN('کوهرت 1392'!E35,'کوهرت 1393'!E35,'کوهرت 1394'!E35,'کوهرت 1397'!E35,'کوهرت 1398'!E35,'کوهرت 1399'!E35,'کوهرت 1400'!E35,'کوهرت 1401'!E35)</ns0:f>
        <ns0:v>0.008194376400498346</ns0:v>
      </ns0:c>
      <ns0:c r="F227" s="75">
        <ns0:f>MAX('کوهرت 1392'!F35,'کوهرت 1393'!F35,'کوهرت 1394'!F35,'کوهرت 1397'!F35,'کوهرت 1398'!F35,'کوهرت 1399'!F35,'کوهرت 1400'!F35,'کوهرت 1401'!F35)-MIN('کوهرت 1392'!F35,'کوهرت 1393'!F35,'کوهرت 1394'!F35,'کوهرت 1397'!F35,'کوهرت 1398'!F35,'کوهرت 1399'!F35,'کوهرت 1400'!F35,'کوهرت 1401'!F35)</ns0:f>
        <ns0:v>0.004372520723349326</ns0:v>
      </ns0:c>
      <ns0:c r="G227" s="75">
        <ns0:f>MAX('کوهرت 1392'!G35,'کوهرت 1393'!G35,'کوهرت 1394'!G35,'کوهرت 1397'!G35,'کوهرت 1398'!G35,'کوهرت 1399'!G35,'کوهرت 1400'!G35,'کوهرت 1401'!G35)-MIN('کوهرت 1392'!G35,'کوهرت 1393'!G35,'کوهرت 1394'!G35,'کوهرت 1397'!G35,'کوهرت 1398'!G35,'کوهرت 1399'!G35,'کوهرت 1400'!G35,'کوهرت 1401'!G35)</ns0:f>
        <ns0:v>0.011497105100768436</ns0:v>
      </ns0:c>
      <ns0:c r="H227" s="75">
        <ns0:f>MAX('کوهرت 1392'!H35,'کوهرت 1393'!H35,'کوهرت 1394'!H35,'کوهرت 1397'!H35,'کوهرت 1398'!H35,'کوهرت 1399'!H35,'کوهرت 1400'!H35,'کوهرت 1401'!H35)-MIN('کوهرت 1392'!H35,'کوهرت 1393'!H35,'کوهرت 1394'!H35,'کوهرت 1397'!H35,'کوهرت 1398'!H35,'کوهرت 1399'!H35,'کوهرت 1400'!H35,'کوهرت 1401'!H35)</ns0:f>
        <ns0:v>0.011924366249006557</ns0:v>
      </ns0:c>
      <ns0:c r="I227" s="75">
        <ns0:f>MAX('کوهرت 1392'!I35,'کوهرت 1393'!I35,'کوهرت 1394'!I35,'کوهرت 1397'!I35,'کوهرت 1398'!I35,'کوهرت 1399'!I35,'کوهرت 1400'!I35,'کوهرت 1401'!I35)-MIN('کوهرت 1392'!I35,'کوهرت 1393'!I35,'کوهرت 1394'!I35,'کوهرت 1397'!I35,'کوهرت 1398'!I35,'کوهرت 1399'!I35,'کوهرت 1400'!I35,'کوهرت 1401'!I35)</ns0:f>
        <ns0:v>0.0015788412406700716</ns0:v>
      </ns0:c>
      <ns0:c r="J227" s="75">
        <ns0:f>MAX('کوهرت 1392'!J35,'کوهرت 1393'!J35,'کوهرت 1394'!J35,'کوهرت 1397'!J35,'کوهرت 1398'!J35,'کوهرت 1399'!J35,'کوهرت 1400'!J35,'کوهرت 1401'!J35)-MIN('کوهرت 1392'!J35,'کوهرت 1393'!J35,'کوهرت 1394'!J35,'کوهرت 1397'!J35,'کوهرت 1398'!J35,'کوهرت 1399'!J35,'کوهرت 1400'!J35,'کوهرت 1401'!J35)</ns0:f>
        <ns0:v>0.007951445784685908</ns0:v>
      </ns0:c>
      <ns0:c r="K227" s="74">
        <ns0:f>MAX('کوهرت 1392'!K35,'کوهرت 1393'!K35,'کوهرت 1394'!K35,'کوهرت 1397'!K35,'کوهرت 1398'!K35,'کوهرت 1399'!K35,'کوهرت 1400'!K35,'کوهرت 1401'!K35)-MIN('کوهرت 1392'!K35,'کوهرت 1393'!K35,'کوهرت 1394'!K35,'کوهرت 1397'!K35,'کوهرت 1398'!K35,'کوهرت 1399'!K35,'کوهرت 1400'!K35,'کوهرت 1401'!K35)</ns0:f>
        <ns0:v>0.09503887144320078</ns0:v>
      </ns0:c>
      <ns0:c r="L227" s="75">
        <ns0:f>MAX('کوهرت 1392'!L35,'کوهرت 1393'!L35,'کوهرت 1394'!L35,'کوهرت 1397'!L35,'کوهرت 1398'!L35,'کوهرت 1399'!L35,'کوهرت 1400'!L35,'کوهرت 1401'!L35)-MIN('کوهرت 1392'!L35,'کوهرت 1393'!L35,'کوهرت 1394'!L35,'کوهرت 1397'!L35,'کوهرت 1398'!L35,'کوهرت 1399'!L35,'کوهرت 1400'!L35,'کوهرت 1401'!L35)</ns0:f>
        <ns0:v>0.011801944704073468</ns0:v>
      </ns0:c>
      <ns0:c r="M227" s="75">
        <ns0:f>MAX('کوهرت 1392'!M35,'کوهرت 1393'!M35,'کوهرت 1394'!M35,'کوهرت 1397'!M35,'کوهرت 1398'!M35,'کوهرت 1399'!M35,'کوهرت 1400'!M35,'کوهرت 1401'!M35)-MIN('کوهرت 1392'!M35,'کوهرت 1393'!M35,'کوهرت 1394'!M35,'کوهرت 1397'!M35,'کوهرت 1398'!M35,'کوهرت 1399'!M35,'کوهرت 1400'!M35,'کوهرت 1401'!M35)</ns0:f>
        <ns0:v>0.004287081673623344</ns0:v>
      </ns0:c>
    </ns0:row>
    <ns0:row r="228" ht="30" customHeight="1">
      <ns0:c r="A228" s="73" t="inlineStr">
        <ns0:is>
          <ns0:t>نوشیدنی بدون نوشابه</ns0:t>
        </ns0:is>
      </ns0:c>
      <ns0:c r="B228" s="75">
        <ns0:f>MAX('کوهرت 1392'!B36,'کوهرت 1393'!B36,'کوهرت 1394'!B36,'کوهرت 1397'!B36,'کوهرت 1398'!B36,'کوهرت 1399'!B36,'کوهرت 1400'!B36,'کوهرت 1401'!B36)-MIN('کوهرت 1392'!B36,'کوهرت 1393'!B36,'کوهرت 1394'!B36,'کوهرت 1397'!B36,'کوهرت 1398'!B36,'کوهرت 1399'!B36,'کوهرت 1400'!B36,'کوهرت 1401'!B36)</ns0:f>
        <ns0:v>0.029840735878275515</ns0:v>
      </ns0:c>
      <ns0:c r="C228" s="75">
        <ns0:f>MAX('کوهرت 1392'!C36,'کوهرت 1393'!C36,'کوهرت 1394'!C36,'کوهرت 1397'!C36,'کوهرت 1398'!C36,'کوهرت 1399'!C36,'کوهرت 1400'!C36,'کوهرت 1401'!C36)-MIN('کوهرت 1392'!C36,'کوهرت 1393'!C36,'کوهرت 1394'!C36,'کوهرت 1397'!C36,'کوهرت 1398'!C36,'کوهرت 1399'!C36,'کوهرت 1400'!C36,'کوهرت 1401'!C36)</ns0:f>
        <ns0:v>0.04053921223212059</ns0:v>
      </ns0:c>
      <ns0:c r="D228" s="75">
        <ns0:f>MAX('کوهرت 1392'!D36,'کوهرت 1393'!D36,'کوهرت 1394'!D36,'کوهرت 1397'!D36,'کوهرت 1398'!D36,'کوهرت 1399'!D36,'کوهرت 1400'!D36,'کوهرت 1401'!D36)-MIN('کوهرت 1392'!D36,'کوهرت 1393'!D36,'کوهرت 1394'!D36,'کوهرت 1397'!D36,'کوهرت 1398'!D36,'کوهرت 1399'!D36,'کوهرت 1400'!D36,'کوهرت 1401'!D36)</ns0:f>
        <ns0:v>0.014071255896419665</ns0:v>
      </ns0:c>
      <ns0:c r="E228" s="75">
        <ns0:f>MAX('کوهرت 1392'!E36,'کوهرت 1393'!E36,'کوهرت 1394'!E36,'کوهرت 1397'!E36,'کوهرت 1398'!E36,'کوهرت 1399'!E36,'کوهرت 1400'!E36,'کوهرت 1401'!E36)-MIN('کوهرت 1392'!E36,'کوهرت 1393'!E36,'کوهرت 1394'!E36,'کوهرت 1397'!E36,'کوهرت 1398'!E36,'کوهرت 1399'!E36,'کوهرت 1400'!E36,'کوهرت 1401'!E36)</ns0:f>
        <ns0:v>0.03609853516086009</ns0:v>
      </ns0:c>
      <ns0:c r="F228" s="75">
        <ns0:f>MAX('کوهرت 1392'!F36,'کوهرت 1393'!F36,'کوهرت 1394'!F36,'کوهرت 1397'!F36,'کوهرت 1398'!F36,'کوهرت 1399'!F36,'کوهرت 1400'!F36,'کوهرت 1401'!F36)-MIN('کوهرت 1392'!F36,'کوهرت 1393'!F36,'کوهرت 1394'!F36,'کوهرت 1397'!F36,'کوهرت 1398'!F36,'کوهرت 1399'!F36,'کوهرت 1400'!F36,'کوهرت 1401'!F36)</ns0:f>
        <ns0:v>0.00820411692178763</ns0:v>
      </ns0:c>
      <ns0:c r="G228" s="75">
        <ns0:f>MAX('کوهرت 1392'!G36,'کوهرت 1393'!G36,'کوهرت 1394'!G36,'کوهرت 1397'!G36,'کوهرت 1398'!G36,'کوهرت 1399'!G36,'کوهرت 1400'!G36,'کوهرت 1401'!G36)-MIN('کوهرت 1392'!G36,'کوهرت 1393'!G36,'کوهرت 1394'!G36,'کوهرت 1397'!G36,'کوهرت 1398'!G36,'کوهرت 1399'!G36,'کوهرت 1400'!G36,'کوهرت 1401'!G36)</ns0:f>
        <ns0:v>0.01049194470829497</ns0:v>
      </ns0:c>
      <ns0:c r="H228" s="75">
        <ns0:f>MAX('کوهرت 1392'!H36,'کوهرت 1393'!H36,'کوهرت 1394'!H36,'کوهرت 1397'!H36,'کوهرت 1398'!H36,'کوهرت 1399'!H36,'کوهرت 1400'!H36,'کوهرت 1401'!H36)-MIN('کوهرت 1392'!H36,'کوهرت 1393'!H36,'کوهرت 1394'!H36,'کوهرت 1397'!H36,'کوهرت 1398'!H36,'کوهرت 1399'!H36,'کوهرت 1400'!H36,'کوهرت 1401'!H36)</ns0:f>
        <ns0:v>0.01943027599654515</ns0:v>
      </ns0:c>
      <ns0:c r="I228" s="75">
        <ns0:f>MAX('کوهرت 1392'!I36,'کوهرت 1393'!I36,'کوهرت 1394'!I36,'کوهرت 1397'!I36,'کوهرت 1398'!I36,'کوهرت 1399'!I36,'کوهرت 1400'!I36,'کوهرت 1401'!I36)-MIN('کوهرت 1392'!I36,'کوهرت 1393'!I36,'کوهرت 1394'!I36,'کوهرت 1397'!I36,'کوهرت 1398'!I36,'کوهرت 1399'!I36,'کوهرت 1400'!I36,'کوهرت 1401'!I36)</ns0:f>
        <ns0:v>0.018628805261162493</ns0:v>
      </ns0:c>
      <ns0:c r="J228" s="75">
        <ns0:f>MAX('کوهرت 1392'!J36,'کوهرت 1393'!J36,'کوهرت 1394'!J36,'کوهرت 1397'!J36,'کوهرت 1398'!J36,'کوهرت 1399'!J36,'کوهرت 1400'!J36,'کوهرت 1401'!J36)-MIN('کوهرت 1392'!J36,'کوهرت 1393'!J36,'کوهرت 1394'!J36,'کوهرت 1397'!J36,'کوهرت 1398'!J36,'کوهرت 1399'!J36,'کوهرت 1400'!J36,'کوهرت 1401'!J36)</ns0:f>
        <ns0:v>0.02825400263128261</ns0:v>
      </ns0:c>
      <ns0:c r="K228" s="75">
        <ns0:f>MAX('کوهرت 1392'!K36,'کوهرت 1393'!K36,'کوهرت 1394'!K36,'کوهرت 1397'!K36,'کوهرت 1398'!K36,'کوهرت 1399'!K36,'کوهرت 1400'!K36,'کوهرت 1401'!K36)-MIN('کوهرت 1392'!K36,'کوهرت 1393'!K36,'کوهرت 1394'!K36,'کوهرت 1397'!K36,'کوهرت 1398'!K36,'کوهرت 1399'!K36,'کوهرت 1400'!K36,'کوهرت 1401'!K36)</ns0:f>
        <ns0:v>0.042814025731251926</ns0:v>
      </ns0:c>
      <ns0:c r="L228" s="74">
        <ns0:f>MAX('کوهرت 1392'!L36,'کوهرت 1393'!L36,'کوهرت 1394'!L36,'کوهرت 1397'!L36,'کوهرت 1398'!L36,'کوهرت 1399'!L36,'کوهرت 1400'!L36,'کوهرت 1401'!L36)-MIN('کوهرت 1392'!L36,'کوهرت 1393'!L36,'کوهرت 1394'!L36,'کوهرت 1397'!L36,'کوهرت 1398'!L36,'کوهرت 1399'!L36,'کوهرت 1400'!L36,'کوهرت 1401'!L36)</ns0:f>
        <ns0:v>0.06772578503694238</ns0:v>
      </ns0:c>
      <ns0:c r="M228" s="75">
        <ns0:f>MAX('کوهرت 1392'!M36,'کوهرت 1393'!M36,'کوهرت 1394'!M36,'کوهرت 1397'!M36,'کوهرت 1398'!M36,'کوهرت 1399'!M36,'کوهرت 1400'!M36,'کوهرت 1401'!M36)-MIN('کوهرت 1392'!M36,'کوهرت 1393'!M36,'کوهرت 1394'!M36,'کوهرت 1397'!M36,'کوهرت 1398'!M36,'کوهرت 1399'!M36,'کوهرت 1400'!M36,'کوهرت 1401'!M36)</ns0:f>
        <ns0:v>0.0299868828618457</ns0:v>
      </ns0:c>
    </ns0:row>
    <ns0:row r="229" ht="30" customHeight="1">
      <ns0:c r="A229" s="73" t="inlineStr">
        <ns0:is>
          <ns0:t>ادویه و چاشنی</ns0:t>
        </ns0:is>
      </ns0:c>
      <ns0:c r="B229" s="75">
        <ns0:f>MAX('کوهرت 1392'!B37,'کوهرت 1393'!B37,'کوهرت 1394'!B37,'کوهرت 1397'!B37,'کوهرت 1398'!B37,'کوهرت 1399'!B37,'کوهرت 1400'!B37,'کوهرت 1401'!B37)-MIN('کوهرت 1392'!B37,'کوهرت 1393'!B37,'کوهرت 1394'!B37,'کوهرت 1397'!B37,'کوهرت 1398'!B37,'کوهرت 1399'!B37,'کوهرت 1400'!B37,'کوهرت 1401'!B37)</ns0:f>
        <ns0:v>0.03637478047365966</ns0:v>
      </ns0:c>
      <ns0:c r="C229" s="75">
        <ns0:f>MAX('کوهرت 1392'!C37,'کوهرت 1393'!C37,'کوهرت 1394'!C37,'کوهرت 1397'!C37,'کوهرت 1398'!C37,'کوهرت 1399'!C37,'کوهرت 1400'!C37,'کوهرت 1401'!C37)-MIN('کوهرت 1392'!C37,'کوهرت 1393'!C37,'کوهرت 1394'!C37,'کوهرت 1397'!C37,'کوهرت 1398'!C37,'کوهرت 1399'!C37,'کوهرت 1400'!C37,'کوهرت 1401'!C37)</ns0:f>
        <ns0:v>0.020385349825266214</ns0:v>
      </ns0:c>
      <ns0:c r="D229" s="75">
        <ns0:f>MAX('کوهرت 1392'!D37,'کوهرت 1393'!D37,'کوهرت 1394'!D37,'کوهرت 1397'!D37,'کوهرت 1398'!D37,'کوهرت 1399'!D37,'کوهرت 1400'!D37,'کوهرت 1401'!D37)-MIN('کوهرت 1392'!D37,'کوهرت 1393'!D37,'کوهرت 1394'!D37,'کوهرت 1397'!D37,'کوهرت 1398'!D37,'کوهرت 1399'!D37,'کوهرت 1400'!D37,'کوهرت 1401'!D37)</ns0:f>
        <ns0:v>0.027033610187192164</ns0:v>
      </ns0:c>
      <ns0:c r="E229" s="75">
        <ns0:f>MAX('کوهرت 1392'!E37,'کوهرت 1393'!E37,'کوهرت 1394'!E37,'کوهرت 1397'!E37,'کوهرت 1398'!E37,'کوهرت 1399'!E37,'کوهرت 1400'!E37,'کوهرت 1401'!E37)-MIN('کوهرت 1392'!E37,'کوهرت 1393'!E37,'کوهرت 1394'!E37,'کوهرت 1397'!E37,'کوهرت 1398'!E37,'کوهرت 1399'!E37,'کوهرت 1400'!E37,'کوهرت 1401'!E37)</ns0:f>
        <ns0:v>0.055074556174100064</ns0:v>
      </ns0:c>
      <ns0:c r="F229" s="75">
        <ns0:f>MAX('کوهرت 1392'!F37,'کوهرت 1393'!F37,'کوهرت 1394'!F37,'کوهرت 1397'!F37,'کوهرت 1398'!F37,'کوهرت 1399'!F37,'کوهرت 1400'!F37,'کوهرت 1401'!F37)-MIN('کوهرت 1392'!F37,'کوهرت 1393'!F37,'کوهرت 1394'!F37,'کوهرت 1397'!F37,'کوهرت 1398'!F37,'کوهرت 1399'!F37,'کوهرت 1400'!F37,'کوهرت 1401'!F37)</ns0:f>
        <ns0:v>0.006292360115123227</ns0:v>
      </ns0:c>
      <ns0:c r="G229" s="75">
        <ns0:f>MAX('کوهرت 1392'!G37,'کوهرت 1393'!G37,'کوهرت 1394'!G37,'کوهرت 1397'!G37,'کوهرت 1398'!G37,'کوهرت 1399'!G37,'کوهرت 1400'!G37,'کوهرت 1401'!G37)-MIN('کوهرت 1392'!G37,'کوهرت 1393'!G37,'کوهرت 1394'!G37,'کوهرت 1397'!G37,'کوهرت 1398'!G37,'کوهرت 1399'!G37,'کوهرت 1400'!G37,'کوهرت 1401'!G37)</ns0:f>
        <ns0:v>0.012360412777296562</ns0:v>
      </ns0:c>
      <ns0:c r="H229" s="75">
        <ns0:f>MAX('کوهرت 1392'!H37,'کوهرت 1393'!H37,'کوهرت 1394'!H37,'کوهرت 1397'!H37,'کوهرت 1398'!H37,'کوهرت 1399'!H37,'کوهرت 1400'!H37,'کوهرت 1401'!H37)-MIN('کوهرت 1392'!H37,'کوهرت 1393'!H37,'کوهرت 1394'!H37,'کوهرت 1397'!H37,'کوهرت 1398'!H37,'کوهرت 1399'!H37,'کوهرت 1400'!H37,'کوهرت 1401'!H37)</ns0:f>
        <ns0:v>0.011915156684671913</ns0:v>
      </ns0:c>
      <ns0:c r="I229" s="75">
        <ns0:f>MAX('کوهرت 1392'!I37,'کوهرت 1393'!I37,'کوهرت 1394'!I37,'کوهرت 1397'!I37,'کوهرت 1398'!I37,'کوهرت 1399'!I37,'کوهرت 1400'!I37,'کوهرت 1401'!I37)-MIN('کوهرت 1392'!I37,'کوهرت 1393'!I37,'کوهرت 1394'!I37,'کوهرت 1397'!I37,'کوهرت 1398'!I37,'کوهرت 1399'!I37,'کوهرت 1400'!I37,'کوهرت 1401'!I37)</ns0:f>
        <ns0:v>0.006516201326701367</ns0:v>
      </ns0:c>
      <ns0:c r="J229" s="75">
        <ns0:f>MAX('کوهرت 1392'!J37,'کوهرت 1393'!J37,'کوهرت 1394'!J37,'کوهرت 1397'!J37,'کوهرت 1398'!J37,'کوهرت 1399'!J37,'کوهرت 1400'!J37,'کوهرت 1401'!J37)-MIN('کوهرت 1392'!J37,'کوهرت 1393'!J37,'کوهرت 1394'!J37,'کوهرت 1397'!J37,'کوهرت 1398'!J37,'کوهرت 1399'!J37,'کوهرت 1400'!J37,'کوهرت 1401'!J37)</ns0:f>
        <ns0:v>0.03336624040897587</ns0:v>
      </ns0:c>
      <ns0:c r="K229" s="75">
        <ns0:f>MAX('کوهرت 1392'!K37,'کوهرت 1393'!K37,'کوهرت 1394'!K37,'کوهرت 1397'!K37,'کوهرت 1398'!K37,'کوهرت 1399'!K37,'کوهرت 1400'!K37,'کوهرت 1401'!K37)-MIN('کوهرت 1392'!K37,'کوهرت 1393'!K37,'کوهرت 1394'!K37,'کوهرت 1397'!K37,'کوهرت 1398'!K37,'کوهرت 1399'!K37,'کوهرت 1400'!K37,'کوهرت 1401'!K37)</ns0:f>
        <ns0:v>0.006854182802125859</ns0:v>
      </ns0:c>
      <ns0:c r="L229" s="75">
        <ns0:f>MAX('کوهرت 1392'!L37,'کوهرت 1393'!L37,'کوهرت 1394'!L37,'کوهرت 1397'!L37,'کوهرت 1398'!L37,'کوهرت 1399'!L37,'کوهرت 1400'!L37,'کوهرت 1401'!L37)-MIN('کوهرت 1392'!L37,'کوهرت 1393'!L37,'کوهرت 1394'!L37,'کوهرت 1397'!L37,'کوهرت 1398'!L37,'کوهرت 1399'!L37,'کوهرت 1400'!L37,'کوهرت 1401'!L37)</ns0:f>
        <ns0:v>0.01031429814465664</ns0:v>
      </ns0:c>
      <ns0:c r="M229" s="74">
        <ns0:f>MAX('کوهرت 1392'!M37,'کوهرت 1393'!M37,'کوهرت 1394'!M37,'کوهرت 1397'!M37,'کوهرت 1398'!M37,'کوهرت 1399'!M37,'کوهرت 1400'!M37,'کوهرت 1401'!M37)-MIN('کوهرت 1392'!M37,'کوهرت 1393'!M37,'کوهرت 1394'!M37,'کوهرت 1397'!M37,'کوهرت 1398'!M37,'کوهرت 1399'!M37,'کوهرت 1400'!M37,'کوهرت 1401'!M37)</ns0:f>
        <ns0:v>0.0913708093724398</ns0:v>
      </ns0:c>
    </ns0:row>
    <ns0:row r="233" ht="28" customHeight="1">
      <ns0:c r="A233" s="76" t="inlineStr">
        <ns0:is>
          <ns0:t>کوهرت • کمینه کشش مارشالی ۱۲×۱۲ | B2</ns0:t>
        </ns0:is>
      </ns0:c>
      <ns0:c r="B233" s="1" t="n"/>
      <ns0:c r="C233" s="1" t="n"/>
      <ns0:c r="D233" s="1" t="n"/>
      <ns0:c r="E233" s="1" t="n"/>
      <ns0:c r="F233" s="1" t="n"/>
      <ns0:c r="G233" s="1" t="n"/>
      <ns0:c r="H233" s="1" t="n"/>
      <ns0:c r="I233" s="1" t="n"/>
      <ns0:c r="J233" s="1" t="n"/>
      <ns0:c r="K233" s="1" t="n"/>
      <ns0:c r="L233" s="1" t="n"/>
      <ns0:c r="M233" s="1" t="n"/>
    </ns0:row>
    <ns0:row r="234" ht="58" customHeight="1">
      <ns0:c r="A234" s="72" t="inlineStr">
        <ns0:is>
          <ns0:t>گروه تقاضا ↓ / گروه قیمت →</ns0:t>
        </ns0:is>
      </ns0:c>
      <ns0:c r="B234" s="72" t="inlineStr">
        <ns0:is>
          <ns0:t>برنج</ns0:t>
        </ns0:is>
      </ns0:c>
      <ns0:c r="C234" s="72" t="inlineStr">
        <ns0:is>
          <ns0:t>نان و غلات</ns0:t>
        </ns0:is>
      </ns0:c>
      <ns0:c r="D234" s="72" t="inlineStr">
        <ns0:is>
          <ns0:t>گوشت</ns0:t>
        </ns0:is>
      </ns0:c>
      <ns0:c r="E234" s="72" t="inlineStr">
        <ns0:is>
          <ns0:t>لبنیات و تخم‌مرغ</ns0:t>
        </ns0:is>
      </ns0:c>
      <ns0:c r="F234" s="72" t="inlineStr">
        <ns0:is>
          <ns0:t>روغن و چربی</ns0:t>
        </ns0:is>
      </ns0:c>
      <ns0:c r="G234" s="72" t="inlineStr">
        <ns0:is>
          <ns0:t>میوه</ns0:t>
        </ns0:is>
      </ns0:c>
      <ns0:c r="H234" s="72" t="inlineStr">
        <ns0:is>
          <ns0:t>سبزیجات و سیب‌زمینی</ns0:t>
        </ns0:is>
      </ns0:c>
      <ns0:c r="I234" s="72" t="inlineStr">
        <ns0:is>
          <ns0:t>حبوبات</ns0:t>
        </ns0:is>
      </ns0:c>
      <ns0:c r="J234" s="72" t="inlineStr">
        <ns0:is>
          <ns0:t>مغزها، خشکبار و خرما</ns0:t>
        </ns0:is>
      </ns0:c>
      <ns0:c r="K234" s="72" t="inlineStr">
        <ns0:is>
          <ns0:t>قند، شیرینی و تنقلات</ns0:t>
        </ns0:is>
      </ns0:c>
      <ns0:c r="L234" s="72" t="inlineStr">
        <ns0:is>
          <ns0:t>نوشیدنی بدون نوشابه</ns0:t>
        </ns0:is>
      </ns0:c>
      <ns0:c r="M234" s="72" t="inlineStr">
        <ns0:is>
          <ns0:t>ادویه و چاشنی</ns0:t>
        </ns0:is>
      </ns0:c>
    </ns0:row>
    <ns0:row r="235" ht="30" customHeight="1">
      <ns0:c r="A235" s="73" t="inlineStr">
        <ns0:is>
          <ns0:t>برنج</ns0:t>
        </ns0:is>
      </ns0:c>
      <ns0:c r="B235" s="77">
        <ns0:f>MIN('کوهرت 1392'!B42,'کوهرت 1393'!B42,'کوهرت 1394'!B42,'کوهرت 1397'!B42,'کوهرت 1398'!B42,'کوهرت 1399'!B42,'کوهرت 1400'!B42,'کوهرت 1401'!B42)</ns0:f>
        <ns0:v>-1.0799943108374668</ns0:v>
      </ns0:c>
      <ns0:c r="C235" s="78">
        <ns0:f>MIN('کوهرت 1392'!C42,'کوهرت 1393'!C42,'کوهرت 1394'!C42,'کوهرت 1397'!C42,'کوهرت 1398'!C42,'کوهرت 1399'!C42,'کوهرت 1400'!C42,'کوهرت 1401'!C42)</ns0:f>
        <ns0:v>-0.024997727624052054</ns0:v>
      </ns0:c>
      <ns0:c r="D235" s="78">
        <ns0:f>MIN('کوهرت 1392'!D42,'کوهرت 1393'!D42,'کوهرت 1394'!D42,'کوهرت 1397'!D42,'کوهرت 1398'!D42,'کوهرت 1399'!D42,'کوهرت 1400'!D42,'کوهرت 1401'!D42)</ns0:f>
        <ns0:v>-0.13065604226279212</ns0:v>
      </ns0:c>
      <ns0:c r="E235" s="78">
        <ns0:f>MIN('کوهرت 1392'!E42,'کوهرت 1393'!E42,'کوهرت 1394'!E42,'کوهرت 1397'!E42,'کوهرت 1398'!E42,'کوهرت 1399'!E42,'کوهرت 1400'!E42,'کوهرت 1401'!E42)</ns0:f>
        <ns0:v>0.011439279048307405</ns0:v>
      </ns0:c>
      <ns0:c r="F235" s="78">
        <ns0:f>MIN('کوهرت 1392'!F42,'کوهرت 1393'!F42,'کوهرت 1394'!F42,'کوهرت 1397'!F42,'کوهرت 1398'!F42,'کوهرت 1399'!F42,'کوهرت 1400'!F42,'کوهرت 1401'!F42)</ns0:f>
        <ns0:v>-0.04144919973639411</ns0:v>
      </ns0:c>
      <ns0:c r="G235" s="78">
        <ns0:f>MIN('کوهرت 1392'!G42,'کوهرت 1393'!G42,'کوهرت 1394'!G42,'کوهرت 1397'!G42,'کوهرت 1398'!G42,'کوهرت 1399'!G42,'کوهرت 1400'!G42,'کوهرت 1401'!G42)</ns0:f>
        <ns0:v>-0.08467016291121168</ns0:v>
      </ns0:c>
      <ns0:c r="H235" s="78">
        <ns0:f>MIN('کوهرت 1392'!H42,'کوهرت 1393'!H42,'کوهرت 1394'!H42,'کوهرت 1397'!H42,'کوهرت 1398'!H42,'کوهرت 1399'!H42,'کوهرت 1400'!H42,'کوهرت 1401'!H42)</ns0:f>
        <ns0:v>-0.10665989853412008</ns0:v>
      </ns0:c>
      <ns0:c r="I235" s="78">
        <ns0:f>MIN('کوهرت 1392'!I42,'کوهرت 1393'!I42,'کوهرت 1394'!I42,'کوهرت 1397'!I42,'کوهرت 1398'!I42,'کوهرت 1399'!I42,'کوهرت 1400'!I42,'کوهرت 1401'!I42)</ns0:f>
        <ns0:v>-0.03758729221110585</ns0:v>
      </ns0:c>
      <ns0:c r="J235" s="78">
        <ns0:f>MIN('کوهرت 1392'!J42,'کوهرت 1393'!J42,'کوهرت 1394'!J42,'کوهرت 1397'!J42,'کوهرت 1398'!J42,'کوهرت 1399'!J42,'کوهرت 1400'!J42,'کوهرت 1401'!J42)</ns0:f>
        <ns0:v>-0.02089708620286893</ns0:v>
      </ns0:c>
      <ns0:c r="K235" s="78">
        <ns0:f>MIN('کوهرت 1392'!K42,'کوهرت 1393'!K42,'کوهرت 1394'!K42,'کوهرت 1397'!K42,'کوهرت 1398'!K42,'کوهرت 1399'!K42,'کوهرت 1400'!K42,'کوهرت 1401'!K42)</ns0:f>
        <ns0:v>-0.09392710101603187</ns0:v>
      </ns0:c>
      <ns0:c r="L235" s="78">
        <ns0:f>MIN('کوهرت 1392'!L42,'کوهرت 1393'!L42,'کوهرت 1394'!L42,'کوهرت 1397'!L42,'کوهرت 1398'!L42,'کوهرت 1399'!L42,'کوهرت 1400'!L42,'کوهرت 1401'!L42)</ns0:f>
        <ns0:v>-0.13080682970791663</ns0:v>
      </ns0:c>
      <ns0:c r="M235" s="78">
        <ns0:f>MIN('کوهرت 1392'!M42,'کوهرت 1393'!M42,'کوهرت 1394'!M42,'کوهرت 1397'!M42,'کوهرت 1398'!M42,'کوهرت 1399'!M42,'کوهرت 1400'!M42,'کوهرت 1401'!M42)</ns0:f>
        <ns0:v>0.04143122371929707</ns0:v>
      </ns0:c>
    </ns0:row>
    <ns0:row r="236" ht="30" customHeight="1">
      <ns0:c r="A236" s="73" t="inlineStr">
        <ns0:is>
          <ns0:t>نان و غلات</ns0:t>
        </ns0:is>
      </ns0:c>
      <ns0:c r="B236" s="78">
        <ns0:f>MIN('کوهرت 1392'!B43,'کوهرت 1393'!B43,'کوهرت 1394'!B43,'کوهرت 1397'!B43,'کوهرت 1398'!B43,'کوهرت 1399'!B43,'کوهرت 1400'!B43,'کوهرت 1401'!B43)</ns0:f>
        <ns0:v>0.0927718523276384</ns0:v>
      </ns0:c>
      <ns0:c r="C236" s="77">
        <ns0:f>MIN('کوهرت 1392'!C43,'کوهرت 1393'!C43,'کوهرت 1394'!C43,'کوهرت 1397'!C43,'کوهرت 1398'!C43,'کوهرت 1399'!C43,'کوهرت 1400'!C43,'کوهرت 1401'!C43)</ns0:f>
        <ns0:v>-0.710283511697737</ns0:v>
      </ns0:c>
      <ns0:c r="D236" s="78">
        <ns0:f>MIN('کوهرت 1392'!D43,'کوهرت 1393'!D43,'کوهرت 1394'!D43,'کوهرت 1397'!D43,'کوهرت 1398'!D43,'کوهرت 1399'!D43,'کوهرت 1400'!D43,'کوهرت 1401'!D43)</ns0:f>
        <ns0:v>0.16729489964473296</ns0:v>
      </ns0:c>
      <ns0:c r="E236" s="78">
        <ns0:f>MIN('کوهرت 1392'!E43,'کوهرت 1393'!E43,'کوهرت 1394'!E43,'کوهرت 1397'!E43,'کوهرت 1398'!E43,'کوهرت 1399'!E43,'کوهرت 1400'!E43,'کوهرت 1401'!E43)</ns0:f>
        <ns0:v>-0.14041395925159908</ns0:v>
      </ns0:c>
      <ns0:c r="F236" s="78">
        <ns0:f>MIN('کوهرت 1392'!F43,'کوهرت 1393'!F43,'کوهرت 1394'!F43,'کوهرت 1397'!F43,'کوهرت 1398'!F43,'کوهرت 1399'!F43,'کوهرت 1400'!F43,'کوهرت 1401'!F43)</ns0:f>
        <ns0:v>-0.017400376887238514</ns0:v>
      </ns0:c>
      <ns0:c r="G236" s="78">
        <ns0:f>MIN('کوهرت 1392'!G43,'کوهرت 1393'!G43,'کوهرت 1394'!G43,'کوهرت 1397'!G43,'کوهرت 1398'!G43,'کوهرت 1399'!G43,'کوهرت 1400'!G43,'کوهرت 1401'!G43)</ns0:f>
        <ns0:v>0.02275649637766508</ns0:v>
      </ns0:c>
      <ns0:c r="H236" s="78">
        <ns0:f>MIN('کوهرت 1392'!H43,'کوهرت 1393'!H43,'کوهرت 1394'!H43,'کوهرت 1397'!H43,'کوهرت 1398'!H43,'کوهرت 1399'!H43,'کوهرت 1400'!H43,'کوهرت 1401'!H43)</ns0:f>
        <ns0:v>-0.08846350673134852</ns0:v>
      </ns0:c>
      <ns0:c r="I236" s="78">
        <ns0:f>MIN('کوهرت 1392'!I43,'کوهرت 1393'!I43,'کوهرت 1394'!I43,'کوهرت 1397'!I43,'کوهرت 1398'!I43,'کوهرت 1399'!I43,'کوهرت 1400'!I43,'کوهرت 1401'!I43)</ns0:f>
        <ns0:v>0.026061904934074932</ns0:v>
      </ns0:c>
      <ns0:c r="J236" s="78">
        <ns0:f>MIN('کوهرت 1392'!J43,'کوهرت 1393'!J43,'کوهرت 1394'!J43,'کوهرت 1397'!J43,'کوهرت 1398'!J43,'کوهرت 1399'!J43,'کوهرت 1400'!J43,'کوهرت 1401'!J43)</ns0:f>
        <ns0:v>0.034437449320084655</ns0:v>
      </ns0:c>
      <ns0:c r="K236" s="78">
        <ns0:f>MIN('کوهرت 1392'!K43,'کوهرت 1393'!K43,'کوهرت 1394'!K43,'کوهرت 1397'!K43,'کوهرت 1398'!K43,'کوهرت 1399'!K43,'کوهرت 1400'!K43,'کوهرت 1401'!K43)</ns0:f>
        <ns0:v>-0.0036995979081484737</ns0:v>
      </ns0:c>
      <ns0:c r="L236" s="78">
        <ns0:f>MIN('کوهرت 1392'!L43,'کوهرت 1393'!L43,'کوهرت 1394'!L43,'کوهرت 1397'!L43,'کوهرت 1398'!L43,'کوهرت 1399'!L43,'کوهرت 1400'!L43,'کوهرت 1401'!L43)</ns0:f>
        <ns0:v>0.06715711038282841</ns0:v>
      </ns0:c>
      <ns0:c r="M236" s="78">
        <ns0:f>MIN('کوهرت 1392'!M43,'کوهرت 1393'!M43,'کوهرت 1394'!M43,'کوهرت 1397'!M43,'کوهرت 1398'!M43,'کوهرت 1399'!M43,'کوهرت 1400'!M43,'کوهرت 1401'!M43)</ns0:f>
        <ns0:v>-0.051609878499246885</ns0:v>
      </ns0:c>
    </ns0:row>
    <ns0:row r="237" ht="30" customHeight="1">
      <ns0:c r="A237" s="73" t="inlineStr">
        <ns0:is>
          <ns0:t>گوشت</ns0:t>
        </ns0:is>
      </ns0:c>
      <ns0:c r="B237" s="78">
        <ns0:f>MIN('کوهرت 1392'!B44,'کوهرت 1393'!B44,'کوهرت 1394'!B44,'کوهرت 1397'!B44,'کوهرت 1398'!B44,'کوهرت 1399'!B44,'کوهرت 1400'!B44,'کوهرت 1401'!B44)</ns0:f>
        <ns0:v>-0.0021215017968650315</ns0:v>
      </ns0:c>
      <ns0:c r="C237" s="78">
        <ns0:f>MIN('کوهرت 1392'!C44,'کوهرت 1393'!C44,'کوهرت 1394'!C44,'کوهرت 1397'!C44,'کوهرت 1398'!C44,'کوهرت 1399'!C44,'کوهرت 1400'!C44,'کوهرت 1401'!C44)</ns0:f>
        <ns0:v>0.014151158830313504</ns0:v>
      </ns0:c>
      <ns0:c r="D237" s="77">
        <ns0:f>MIN('کوهرت 1392'!D44,'کوهرت 1393'!D44,'کوهرت 1394'!D44,'کوهرت 1397'!D44,'کوهرت 1398'!D44,'کوهرت 1399'!D44,'کوهرت 1400'!D44,'کوهرت 1401'!D44)</ns0:f>
        <ns0:v>-0.9503298361489102</ns0:v>
      </ns0:c>
      <ns0:c r="E237" s="78">
        <ns0:f>MIN('کوهرت 1392'!E44,'کوهرت 1393'!E44,'کوهرت 1394'!E44,'کوهرت 1397'!E44,'کوهرت 1398'!E44,'کوهرت 1399'!E44,'کوهرت 1400'!E44,'کوهرت 1401'!E44)</ns0:f>
        <ns0:v>-0.024969564318688072</ns0:v>
      </ns0:c>
      <ns0:c r="F237" s="78">
        <ns0:f>MIN('کوهرت 1392'!F44,'کوهرت 1393'!F44,'کوهرت 1394'!F44,'کوهرت 1397'!F44,'کوهرت 1398'!F44,'کوهرت 1399'!F44,'کوهرت 1400'!F44,'کوهرت 1401'!F44)</ns0:f>
        <ns0:v>-0.076701926571239</ns0:v>
      </ns0:c>
      <ns0:c r="G237" s="78">
        <ns0:f>MIN('کوهرت 1392'!G44,'کوهرت 1393'!G44,'کوهرت 1394'!G44,'کوهرت 1397'!G44,'کوهرت 1398'!G44,'کوهرت 1399'!G44,'کوهرت 1400'!G44,'کوهرت 1401'!G44)</ns0:f>
        <ns0:v>-0.005063737703362671</ns0:v>
      </ns0:c>
      <ns0:c r="H237" s="78">
        <ns0:f>MIN('کوهرت 1392'!H44,'کوهرت 1393'!H44,'کوهرت 1394'!H44,'کوهرت 1397'!H44,'کوهرت 1398'!H44,'کوهرت 1399'!H44,'کوهرت 1400'!H44,'کوهرت 1401'!H44)</ns0:f>
        <ns0:v>-0.09534966486513892</ns0:v>
      </ns0:c>
      <ns0:c r="I237" s="78">
        <ns0:f>MIN('کوهرت 1392'!I44,'کوهرت 1393'!I44,'کوهرت 1394'!I44,'کوهرت 1397'!I44,'کوهرت 1398'!I44,'کوهرت 1399'!I44,'کوهرت 1400'!I44,'کوهرت 1401'!I44)</ns0:f>
        <ns0:v>-0.02172598723387178</ns0:v>
      </ns0:c>
      <ns0:c r="J237" s="78">
        <ns0:f>MIN('کوهرت 1392'!J44,'کوهرت 1393'!J44,'کوهرت 1394'!J44,'کوهرت 1397'!J44,'کوهرت 1398'!J44,'کوهرت 1399'!J44,'کوهرت 1400'!J44,'کوهرت 1401'!J44)</ns0:f>
        <ns0:v>-0.04482416177722327</ns0:v>
      </ns0:c>
      <ns0:c r="K237" s="78">
        <ns0:f>MIN('کوهرت 1392'!K44,'کوهرت 1393'!K44,'کوهرت 1394'!K44,'کوهرت 1397'!K44,'کوهرت 1398'!K44,'کوهرت 1399'!K44,'کوهرت 1400'!K44,'کوهرت 1401'!K44)</ns0:f>
        <ns0:v>-0.004508026967873203</ns0:v>
      </ns0:c>
      <ns0:c r="L237" s="78">
        <ns0:f>MIN('کوهرت 1392'!L44,'کوهرت 1393'!L44,'کوهرت 1394'!L44,'کوهرت 1397'!L44,'کوهرت 1398'!L44,'کوهرت 1399'!L44,'کوهرت 1400'!L44,'کوهرت 1401'!L44)</ns0:f>
        <ns0:v>-0.046762902476573505</ns0:v>
      </ns0:c>
      <ns0:c r="M237" s="78">
        <ns0:f>MIN('کوهرت 1392'!M44,'کوهرت 1393'!M44,'کوهرت 1394'!M44,'کوهرت 1397'!M44,'کوهرت 1398'!M44,'کوهرت 1399'!M44,'کوهرت 1400'!M44,'کوهرت 1401'!M44)</ns0:f>
        <ns0:v>-0.04834582315755969</ns0:v>
      </ns0:c>
    </ns0:row>
    <ns0:row r="238" ht="30" customHeight="1">
      <ns0:c r="A238" s="73" t="inlineStr">
        <ns0:is>
          <ns0:t>لبنیات و تخم‌مرغ</ns0:t>
        </ns0:is>
      </ns0:c>
      <ns0:c r="B238" s="78">
        <ns0:f>MIN('کوهرت 1392'!B45,'کوهرت 1393'!B45,'کوهرت 1394'!B45,'کوهرت 1397'!B45,'کوهرت 1398'!B45,'کوهرت 1399'!B45,'کوهرت 1400'!B45,'کوهرت 1401'!B45)</ns0:f>
        <ns0:v>0.0958740168988946</ns0:v>
      </ns0:c>
      <ns0:c r="C238" s="78">
        <ns0:f>MIN('کوهرت 1392'!C45,'کوهرت 1393'!C45,'کوهرت 1394'!C45,'کوهرت 1397'!C45,'کوهرت 1398'!C45,'کوهرت 1399'!C45,'کوهرت 1400'!C45,'کوهرت 1401'!C45)</ns0:f>
        <ns0:v>-0.17784316921111776</ns0:v>
      </ns0:c>
      <ns0:c r="D238" s="78">
        <ns0:f>MIN('کوهرت 1392'!D45,'کوهرت 1393'!D45,'کوهرت 1394'!D45,'کوهرت 1397'!D45,'کوهرت 1398'!D45,'کوهرت 1399'!D45,'کوهرت 1400'!D45,'کوهرت 1401'!D45)</ns0:f>
        <ns0:v>0.054830902195865186</ns0:v>
      </ns0:c>
      <ns0:c r="E238" s="77">
        <ns0:f>MIN('کوهرت 1392'!E45,'کوهرت 1393'!E45,'کوهرت 1394'!E45,'کوهرت 1397'!E45,'کوهرت 1398'!E45,'کوهرت 1399'!E45,'کوهرت 1400'!E45,'کوهرت 1401'!E45)</ns0:f>
        <ns0:v>-0.8134658412790389</ns0:v>
      </ns0:c>
      <ns0:c r="F238" s="78">
        <ns0:f>MIN('کوهرت 1392'!F45,'کوهرت 1393'!F45,'کوهرت 1394'!F45,'کوهرت 1397'!F45,'کوهرت 1398'!F45,'کوهرت 1399'!F45,'کوهرت 1400'!F45,'کوهرت 1401'!F45)</ns0:f>
        <ns0:v>-0.01486692579903752</ns0:v>
      </ns0:c>
      <ns0:c r="G238" s="78">
        <ns0:f>MIN('کوهرت 1392'!G45,'کوهرت 1393'!G45,'کوهرت 1394'!G45,'کوهرت 1397'!G45,'کوهرت 1398'!G45,'کوهرت 1399'!G45,'کوهرت 1400'!G45,'کوهرت 1401'!G45)</ns0:f>
        <ns0:v>0.03048216899679107</ns0:v>
      </ns0:c>
      <ns0:c r="H238" s="78">
        <ns0:f>MIN('کوهرت 1392'!H45,'کوهرت 1393'!H45,'کوهرت 1394'!H45,'کوهرت 1397'!H45,'کوهرت 1398'!H45,'کوهرت 1399'!H45,'کوهرت 1400'!H45,'کوهرت 1401'!H45)</ns0:f>
        <ns0:v>-0.15772939993702143</ns0:v>
      </ns0:c>
      <ns0:c r="I238" s="78">
        <ns0:f>MIN('کوهرت 1392'!I45,'کوهرت 1393'!I45,'کوهرت 1394'!I45,'کوهرت 1397'!I45,'کوهرت 1398'!I45,'کوهرت 1399'!I45,'کوهرت 1400'!I45,'کوهرت 1401'!I45)</ns0:f>
        <ns0:v>0.039807317572270476</ns0:v>
      </ns0:c>
      <ns0:c r="J238" s="78">
        <ns0:f>MIN('کوهرت 1392'!J45,'کوهرت 1393'!J45,'کوهرت 1394'!J45,'کوهرت 1397'!J45,'کوهرت 1398'!J45,'کوهرت 1399'!J45,'کوهرت 1400'!J45,'کوهرت 1401'!J45)</ns0:f>
        <ns0:v>0.0932693860293899</ns0:v>
      </ns0:c>
      <ns0:c r="K238" s="78">
        <ns0:f>MIN('کوهرت 1392'!K45,'کوهرت 1393'!K45,'کوهرت 1394'!K45,'کوهرت 1397'!K45,'کوهرت 1398'!K45,'کوهرت 1399'!K45,'کوهرت 1400'!K45,'کوهرت 1401'!K45)</ns0:f>
        <ns0:v>-0.05441276281774031</ns0:v>
      </ns0:c>
      <ns0:c r="L238" s="78">
        <ns0:f>MIN('کوهرت 1392'!L45,'کوهرت 1393'!L45,'کوهرت 1394'!L45,'کوهرت 1397'!L45,'کوهرت 1398'!L45,'کوهرت 1399'!L45,'کوهرت 1400'!L45,'کوهرت 1401'!L45)</ns0:f>
        <ns0:v>0.09749659421158488</ns0:v>
      </ns0:c>
      <ns0:c r="M238" s="78">
        <ns0:f>MIN('کوهرت 1392'!M45,'کوهرت 1393'!M45,'کوهرت 1394'!M45,'کوهرت 1397'!M45,'کوهرت 1398'!M45,'کوهرت 1399'!M45,'کوهرت 1400'!M45,'کوهرت 1401'!M45)</ns0:f>
        <ns0:v>-0.11997119549198972</ns0:v>
      </ns0:c>
    </ns0:row>
    <ns0:row r="239" ht="30" customHeight="1">
      <ns0:c r="A239" s="73" t="inlineStr">
        <ns0:is>
          <ns0:t>روغن و چربی</ns0:t>
        </ns0:is>
      </ns0:c>
      <ns0:c r="B239" s="78">
        <ns0:f>MIN('کوهرت 1392'!B46,'کوهرت 1393'!B46,'کوهرت 1394'!B46,'کوهرت 1397'!B46,'کوهرت 1398'!B46,'کوهرت 1399'!B46,'کوهرت 1400'!B46,'کوهرت 1401'!B46)</ns0:f>
        <ns0:v>0.004882786845012619</ns0:v>
      </ns0:c>
      <ns0:c r="C239" s="78">
        <ns0:f>MIN('کوهرت 1392'!C46,'کوهرت 1393'!C46,'کوهرت 1394'!C46,'کوهرت 1397'!C46,'کوهرت 1398'!C46,'کوهرت 1399'!C46,'کوهرت 1400'!C46,'کوهرت 1401'!C46)</ns0:f>
        <ns0:v>-0.10506984586402189</ns0:v>
      </ns0:c>
      <ns0:c r="D239" s="78">
        <ns0:f>MIN('کوهرت 1392'!D46,'کوهرت 1393'!D46,'کوهرت 1394'!D46,'کوهرت 1397'!D46,'کوهرت 1398'!D46,'کوهرت 1399'!D46,'کوهرت 1400'!D46,'کوهرت 1401'!D46)</ns0:f>
        <ns0:v>-0.23002446425435952</ns0:v>
      </ns0:c>
      <ns0:c r="E239" s="78">
        <ns0:f>MIN('کوهرت 1392'!E46,'کوهرت 1393'!E46,'کوهرت 1394'!E46,'کوهرت 1397'!E46,'کوهرت 1398'!E46,'کوهرت 1399'!E46,'کوهرت 1400'!E46,'کوهرت 1401'!E46)</ns0:f>
        <ns0:v>0.06007722892743911</ns0:v>
      </ns0:c>
      <ns0:c r="F239" s="77">
        <ns0:f>MIN('کوهرت 1392'!F46,'کوهرت 1393'!F46,'کوهرت 1394'!F46,'کوهرت 1397'!F46,'کوهرت 1398'!F46,'کوهرت 1399'!F46,'کوهرت 1400'!F46,'کوهرت 1401'!F46)</ns0:f>
        <ns0:v>-0.5493793343353057</ns0:v>
      </ns0:c>
      <ns0:c r="G239" s="78">
        <ns0:f>MIN('کوهرت 1392'!G46,'کوهرت 1393'!G46,'کوهرت 1394'!G46,'کوهرت 1397'!G46,'کوهرت 1398'!G46,'کوهرت 1399'!G46,'کوهرت 1400'!G46,'کوهرت 1401'!G46)</ns0:f>
        <ns0:v>-0.05595475586070168</ns0:v>
      </ns0:c>
      <ns0:c r="H239" s="78">
        <ns0:f>MIN('کوهرت 1392'!H46,'کوهرت 1393'!H46,'کوهرت 1394'!H46,'کوهرت 1397'!H46,'کوهرت 1398'!H46,'کوهرت 1399'!H46,'کوهرت 1400'!H46,'کوهرت 1401'!H46)</ns0:f>
        <ns0:v>-0.12292462776156626</ns0:v>
      </ns0:c>
      <ns0:c r="I239" s="78">
        <ns0:f>MIN('کوهرت 1392'!I46,'کوهرت 1393'!I46,'کوهرت 1394'!I46,'کوهرت 1397'!I46,'کوهرت 1398'!I46,'کوهرت 1399'!I46,'کوهرت 1400'!I46,'کوهرت 1401'!I46)</ns0:f>
        <ns0:v>-0.12506011120436217</ns0:v>
      </ns0:c>
      <ns0:c r="J239" s="78">
        <ns0:f>MIN('کوهرت 1392'!J46,'کوهرت 1393'!J46,'کوهرت 1394'!J46,'کوهرت 1397'!J46,'کوهرت 1398'!J46,'کوهرت 1399'!J46,'کوهرت 1400'!J46,'کوهرت 1401'!J46)</ns0:f>
        <ns0:v>0.030510744143036627</ns0:v>
      </ns0:c>
      <ns0:c r="K239" s="78">
        <ns0:f>MIN('کوهرت 1392'!K46,'کوهرت 1393'!K46,'کوهرت 1394'!K46,'کوهرت 1397'!K46,'کوهرت 1398'!K46,'کوهرت 1399'!K46,'کوهرت 1400'!K46,'کوهرت 1401'!K46)</ns0:f>
        <ns0:v>-0.01760073164238426</ns0:v>
      </ns0:c>
      <ns0:c r="L239" s="78">
        <ns0:f>MIN('کوهرت 1392'!L46,'کوهرت 1393'!L46,'کوهرت 1394'!L46,'کوهرت 1397'!L46,'کوهرت 1398'!L46,'کوهرت 1399'!L46,'کوهرت 1400'!L46,'کوهرت 1401'!L46)</ns0:f>
        <ns0:v>-0.09744328267336873</ns0:v>
      </ns0:c>
      <ns0:c r="M239" s="78">
        <ns0:f>MIN('کوهرت 1392'!M46,'کوهرت 1393'!M46,'کوهرت 1394'!M46,'کوهرت 1397'!M46,'کوهرت 1398'!M46,'کوهرت 1399'!M46,'کوهرت 1400'!M46,'کوهرت 1401'!M46)</ns0:f>
        <ns0:v>-0.02641793415234706</ns0:v>
      </ns0:c>
    </ns0:row>
    <ns0:row r="240" ht="30" customHeight="1">
      <ns0:c r="A240" s="73" t="inlineStr">
        <ns0:is>
          <ns0:t>میوه</ns0:t>
        </ns0:is>
      </ns0:c>
      <ns0:c r="B240" s="78">
        <ns0:f>MIN('کوهرت 1392'!B47,'کوهرت 1393'!B47,'کوهرت 1394'!B47,'کوهرت 1397'!B47,'کوهرت 1398'!B47,'کوهرت 1399'!B47,'کوهرت 1400'!B47,'کوهرت 1401'!B47)</ns0:f>
        <ns0:v>-0.16467937638975108</ns0:v>
      </ns0:c>
      <ns0:c r="C240" s="78">
        <ns0:f>MIN('کوهرت 1392'!C47,'کوهرت 1393'!C47,'کوهرت 1394'!C47,'کوهرت 1397'!C47,'کوهرت 1398'!C47,'کوهرت 1399'!C47,'کوهرت 1400'!C47,'کوهرت 1401'!C47)</ns0:f>
        <ns0:v>-0.011766933158242319</ns0:v>
      </ns0:c>
      <ns0:c r="D240" s="78">
        <ns0:f>MIN('کوهرت 1392'!D47,'کوهرت 1393'!D47,'کوهرت 1394'!D47,'کوهرت 1397'!D47,'کوهرت 1398'!D47,'کوهرت 1399'!D47,'کوهرت 1400'!D47,'کوهرت 1401'!D47)</ns0:f>
        <ns0:v>-0.012371570193770585</ns0:v>
      </ns0:c>
      <ns0:c r="E240" s="78">
        <ns0:f>MIN('کوهرت 1392'!E47,'کوهرت 1393'!E47,'کوهرت 1394'!E47,'کوهرت 1397'!E47,'کوهرت 1398'!E47,'کوهرت 1399'!E47,'کوهرت 1400'!E47,'کوهرت 1401'!E47)</ns0:f>
        <ns0:v>0.04206172885822332</ns0:v>
      </ns0:c>
      <ns0:c r="F240" s="78">
        <ns0:f>MIN('کوهرت 1392'!F47,'کوهرت 1393'!F47,'کوهرت 1394'!F47,'کوهرت 1397'!F47,'کوهرت 1398'!F47,'کوهرت 1399'!F47,'کوهرت 1400'!F47,'کوهرت 1401'!F47)</ns0:f>
        <ns0:v>-0.1008406680065631</ns0:v>
      </ns0:c>
      <ns0:c r="G240" s="77">
        <ns0:f>MIN('کوهرت 1392'!G47,'کوهرت 1393'!G47,'کوهرت 1394'!G47,'کوهرت 1397'!G47,'کوهرت 1398'!G47,'کوهرت 1399'!G47,'کوهرت 1400'!G47,'کوهرت 1401'!G47)</ns0:f>
        <ns0:v>-1.0739783604974384</ns0:v>
      </ns0:c>
      <ns0:c r="H240" s="78">
        <ns0:f>MIN('کوهرت 1392'!H47,'کوهرت 1393'!H47,'کوهرت 1394'!H47,'کوهرت 1397'!H47,'کوهرت 1398'!H47,'کوهرت 1399'!H47,'کوهرت 1400'!H47,'کوهرت 1401'!H47)</ns0:f>
        <ns0:v>0.10727498200740686</ns0:v>
      </ns0:c>
      <ns0:c r="I240" s="78">
        <ns0:f>MIN('کوهرت 1392'!I47,'کوهرت 1393'!I47,'کوهرت 1394'!I47,'کوهرت 1397'!I47,'کوهرت 1398'!I47,'کوهرت 1399'!I47,'کوهرت 1400'!I47,'کوهرت 1401'!I47)</ns0:f>
        <ns0:v>-0.05240593058212891</ns0:v>
      </ns0:c>
      <ns0:c r="J240" s="78">
        <ns0:f>MIN('کوهرت 1392'!J47,'کوهرت 1393'!J47,'کوهرت 1394'!J47,'کوهرت 1397'!J47,'کوهرت 1398'!J47,'کوهرت 1399'!J47,'کوهرت 1400'!J47,'کوهرت 1401'!J47)</ns0:f>
        <ns0:v>-0.20376789235101547</ns0:v>
      </ns0:c>
      <ns0:c r="K240" s="78">
        <ns0:f>MIN('کوهرت 1392'!K47,'کوهرت 1393'!K47,'کوهرت 1394'!K47,'کوهرت 1397'!K47,'کوهرت 1398'!K47,'کوهرت 1399'!K47,'کوهرت 1400'!K47,'کوهرت 1401'!K47)</ns0:f>
        <ns0:v>0.04455640567497379</ns0:v>
      </ns0:c>
      <ns0:c r="L240" s="78">
        <ns0:f>MIN('کوهرت 1392'!L47,'کوهرت 1393'!L47,'کوهرت 1394'!L47,'کوهرت 1397'!L47,'کوهرت 1398'!L47,'کوهرت 1399'!L47,'کوهرت 1400'!L47,'کوهرت 1401'!L47)</ns0:f>
        <ns0:v>-0.0310307239695562</ns0:v>
      </ns0:c>
      <ns0:c r="M240" s="78">
        <ns0:f>MIN('کوهرت 1392'!M47,'کوهرت 1393'!M47,'کوهرت 1394'!M47,'کوهرت 1397'!M47,'کوهرت 1398'!M47,'کوهرت 1399'!M47,'کوهرت 1400'!M47,'کوهرت 1401'!M47)</ns0:f>
        <ns0:v>0.022973950371153705</ns0:v>
      </ns0:c>
    </ns0:row>
    <ns0:row r="241" ht="30" customHeight="1">
      <ns0:c r="A241" s="73" t="inlineStr">
        <ns0:is>
          <ns0:t>سبزیجات و سیب‌زمینی</ns0:t>
        </ns0:is>
      </ns0:c>
      <ns0:c r="B241" s="78">
        <ns0:f>MIN('کوهرت 1392'!B48,'کوهرت 1393'!B48,'کوهرت 1394'!B48,'کوهرت 1397'!B48,'کوهرت 1398'!B48,'کوهرت 1399'!B48,'کوهرت 1400'!B48,'کوهرت 1401'!B48)</ns0:f>
        <ns0:v>-0.01286298418890122</ns0:v>
      </ns0:c>
      <ns0:c r="C241" s="78">
        <ns0:f>MIN('کوهرت 1392'!C48,'کوهرت 1393'!C48,'کوهرت 1394'!C48,'کوهرت 1397'!C48,'کوهرت 1398'!C48,'کوهرت 1399'!C48,'کوهرت 1400'!C48,'کوهرت 1401'!C48)</ns0:f>
        <ns0:v>-0.12381610879154031</ns0:v>
      </ns0:c>
      <ns0:c r="D241" s="78">
        <ns0:f>MIN('کوهرت 1392'!D48,'کوهرت 1393'!D48,'کوهرت 1394'!D48,'کوهرت 1397'!D48,'کوهرت 1398'!D48,'کوهرت 1399'!D48,'کوهرت 1400'!D48,'کوهرت 1401'!D48)</ns0:f>
        <ns0:v>-0.07088431715824169</ns0:v>
      </ns0:c>
      <ns0:c r="E241" s="78">
        <ns0:f>MIN('کوهرت 1392'!E48,'کوهرت 1393'!E48,'کوهرت 1394'!E48,'کوهرت 1397'!E48,'کوهرت 1398'!E48,'کوهرت 1399'!E48,'کوهرت 1400'!E48,'کوهرت 1401'!E48)</ns0:f>
        <ns0:v>-0.1520140894205142</ns0:v>
      </ns0:c>
      <ns0:c r="F241" s="78">
        <ns0:f>MIN('کوهرت 1392'!F48,'کوهرت 1393'!F48,'کوهرت 1394'!F48,'کوهرت 1397'!F48,'کوهرت 1398'!F48,'کوهرت 1399'!F48,'کوهرت 1400'!F48,'کوهرت 1401'!F48)</ns0:f>
        <ns0:v>-0.0047600709092101845</ns0:v>
      </ns0:c>
      <ns0:c r="G241" s="78">
        <ns0:f>MIN('کوهرت 1392'!G48,'کوهرت 1393'!G48,'کوهرت 1394'!G48,'کوهرت 1397'!G48,'کوهرت 1398'!G48,'کوهرت 1399'!G48,'کوهرت 1400'!G48,'کوهرت 1401'!G48)</ns0:f>
        <ns0:v>0.04603835754790733</ns0:v>
      </ns0:c>
      <ns0:c r="H241" s="77">
        <ns0:f>MIN('کوهرت 1392'!H48,'کوهرت 1393'!H48,'کوهرت 1394'!H48,'کوهرت 1397'!H48,'کوهرت 1398'!H48,'کوهرت 1399'!H48,'کوهرت 1400'!H48,'کوهرت 1401'!H48)</ns0:f>
        <ns0:v>-0.4908202676278127</ns0:v>
      </ns0:c>
      <ns0:c r="I241" s="78">
        <ns0:f>MIN('کوهرت 1392'!I48,'کوهرت 1393'!I48,'کوهرت 1394'!I48,'کوهرت 1397'!I48,'کوهرت 1398'!I48,'کوهرت 1399'!I48,'کوهرت 1400'!I48,'کوهرت 1401'!I48)</ns0:f>
        <ns0:v>0.002546013787814589</ns0:v>
      </ns0:c>
      <ns0:c r="J241" s="78">
        <ns0:f>MIN('کوهرت 1392'!J48,'کوهرت 1393'!J48,'کوهرت 1394'!J48,'کوهرت 1397'!J48,'کوهرت 1398'!J48,'کوهرت 1399'!J48,'کوهرت 1400'!J48,'کوهرت 1401'!J48)</ns0:f>
        <ns0:v>0.006441359385783988</ns0:v>
      </ns0:c>
      <ns0:c r="K241" s="78">
        <ns0:f>MIN('کوهرت 1392'!K48,'کوهرت 1393'!K48,'کوهرت 1394'!K48,'کوهرت 1397'!K48,'کوهرت 1398'!K48,'کوهرت 1399'!K48,'کوهرت 1400'!K48,'کوهرت 1401'!K48)</ns0:f>
        <ns0:v>-0.07510187766168881</ns0:v>
      </ns0:c>
      <ns0:c r="L241" s="78">
        <ns0:f>MIN('کوهرت 1392'!L48,'کوهرت 1393'!L48,'کوهرت 1394'!L48,'کوهرت 1397'!L48,'کوهرت 1398'!L48,'کوهرت 1399'!L48,'کوهرت 1400'!L48,'کوهرت 1401'!L48)</ns0:f>
        <ns0:v>0.05505027041159533</ns0:v>
      </ns0:c>
      <ns0:c r="M241" s="78">
        <ns0:f>MIN('کوهرت 1392'!M48,'کوهرت 1393'!M48,'کوهرت 1394'!M48,'کوهرت 1397'!M48,'کوهرت 1398'!M48,'کوهرت 1399'!M48,'کوهرت 1400'!M48,'کوهرت 1401'!M48)</ns0:f>
        <ns0:v>-0.026387085957121557</ns0:v>
      </ns0:c>
    </ns0:row>
    <ns0:row r="242" ht="30" customHeight="1">
      <ns0:c r="A242" s="73" t="inlineStr">
        <ns0:is>
          <ns0:t>حبوبات</ns0:t>
        </ns0:is>
      </ns0:c>
      <ns0:c r="B242" s="78">
        <ns0:f>MIN('کوهرت 1392'!B49,'کوهرت 1393'!B49,'کوهرت 1394'!B49,'کوهرت 1397'!B49,'کوهرت 1398'!B49,'کوهرت 1399'!B49,'کوهرت 1400'!B49,'کوهرت 1401'!B49)</ns0:f>
        <ns0:v>-0.0835902574036794</ns0:v>
      </ns0:c>
      <ns0:c r="C242" s="78">
        <ns0:f>MIN('کوهرت 1392'!C49,'کوهرت 1393'!C49,'کوهرت 1394'!C49,'کوهرت 1397'!C49,'کوهرت 1398'!C49,'کوهرت 1399'!C49,'کوهرت 1400'!C49,'کوهرت 1401'!C49)</ns0:f>
        <ns0:v>-0.02511813000021225</ns0:v>
      </ns0:c>
      <ns0:c r="D242" s="78">
        <ns0:f>MIN('کوهرت 1392'!D49,'کوهرت 1393'!D49,'کوهرت 1394'!D49,'کوهرت 1397'!D49,'کوهرت 1398'!D49,'کوهرت 1399'!D49,'کوهرت 1400'!D49,'کوهرت 1401'!D49)</ns0:f>
        <ns0:v>-0.015090595290384293</ns0:v>
      </ns0:c>
      <ns0:c r="E242" s="78">
        <ns0:f>MIN('کوهرت 1392'!E49,'کوهرت 1393'!E49,'کوهرت 1394'!E49,'کوهرت 1397'!E49,'کوهرت 1398'!E49,'کوهرت 1399'!E49,'کوهرت 1400'!E49,'کوهرت 1401'!E49)</ns0:f>
        <ns0:v>0.20682968925138684</ns0:v>
      </ns0:c>
      <ns0:c r="F242" s="78">
        <ns0:f>MIN('کوهرت 1392'!F49,'کوهرت 1393'!F49,'کوهرت 1394'!F49,'کوهرت 1397'!F49,'کوهرت 1398'!F49,'کوهرت 1399'!F49,'کوهرت 1400'!F49,'کوهرت 1401'!F49)</ns0:f>
        <ns0:v>-0.11772849799152502</ns0:v>
      </ns0:c>
      <ns0:c r="G242" s="78">
        <ns0:f>MIN('کوهرت 1392'!G49,'کوهرت 1393'!G49,'کوهرت 1394'!G49,'کوهرت 1397'!G49,'کوهرت 1398'!G49,'کوهرت 1399'!G49,'کوهرت 1400'!G49,'کوهرت 1401'!G49)</ns0:f>
        <ns0:v>-0.07432406650184821</ns0:v>
      </ns0:c>
      <ns0:c r="H242" s="78">
        <ns0:f>MIN('کوهرت 1392'!H49,'کوهرت 1393'!H49,'کوهرت 1394'!H49,'کوهرت 1397'!H49,'کوهرت 1398'!H49,'کوهرت 1399'!H49,'کوهرت 1400'!H49,'کوهرت 1401'!H49)</ns0:f>
        <ns0:v>-0.15874555950788224</ns0:v>
      </ns0:c>
      <ns0:c r="I242" s="77">
        <ns0:f>MIN('کوهرت 1392'!I49,'کوهرت 1393'!I49,'کوهرت 1394'!I49,'کوهرت 1397'!I49,'کوهرت 1398'!I49,'کوهرت 1399'!I49,'کوهرت 1400'!I49,'کوهرت 1401'!I49)</ns0:f>
        <ns0:v>-0.7282080055410518</ns0:v>
      </ns0:c>
      <ns0:c r="J242" s="78">
        <ns0:f>MIN('کوهرت 1392'!J49,'کوهرت 1393'!J49,'کوهرت 1394'!J49,'کوهرت 1397'!J49,'کوهرت 1398'!J49,'کوهرت 1399'!J49,'کوهرت 1400'!J49,'کوهرت 1401'!J49)</ns0:f>
        <ns0:v>-0.11346120943933644</ns0:v>
      </ns0:c>
      <ns0:c r="K242" s="78">
        <ns0:f>MIN('کوهرت 1392'!K49,'کوهرت 1393'!K49,'کوهرت 1394'!K49,'کوهرت 1397'!K49,'کوهرت 1398'!K49,'کوهرت 1399'!K49,'کوهرت 1400'!K49,'کوهرت 1401'!K49)</ns0:f>
        <ns0:v>-0.1852130379531204</ns0:v>
      </ns0:c>
      <ns0:c r="L242" s="78">
        <ns0:f>MIN('کوهرت 1392'!L49,'کوهرت 1393'!L49,'کوهرت 1394'!L49,'کوهرت 1397'!L49,'کوهرت 1398'!L49,'کوهرت 1399'!L49,'کوهرت 1400'!L49,'کوهرت 1401'!L49)</ns0:f>
        <ns0:v>0.010842511526366904</ns0:v>
      </ns0:c>
      <ns0:c r="M242" s="78">
        <ns0:f>MIN('کوهرت 1392'!M49,'کوهرت 1393'!M49,'کوهرت 1394'!M49,'کوهرت 1397'!M49,'کوهرت 1398'!M49,'کوهرت 1399'!M49,'کوهرت 1400'!M49,'کوهرت 1401'!M49)</ns0:f>
        <ns0:v>-0.006253585100606345</ns0:v>
      </ns0:c>
    </ns0:row>
    <ns0:row r="243" ht="30" customHeight="1">
      <ns0:c r="A243" s="73" t="inlineStr">
        <ns0:is>
          <ns0:t>مغزها، خشکبار و خرما</ns0:t>
        </ns0:is>
      </ns0:c>
      <ns0:c r="B243" s="78">
        <ns0:f>MIN('کوهرت 1392'!B50,'کوهرت 1393'!B50,'کوهرت 1394'!B50,'کوهرت 1397'!B50,'کوهرت 1398'!B50,'کوهرت 1399'!B50,'کوهرت 1400'!B50,'کوهرت 1401'!B50)</ns0:f>
        <ns0:v>-0.13447894223709508</ns0:v>
      </ns0:c>
      <ns0:c r="C243" s="78">
        <ns0:f>MIN('کوهرت 1392'!C50,'کوهرت 1393'!C50,'کوهرت 1394'!C50,'کوهرت 1397'!C50,'کوهرت 1398'!C50,'کوهرت 1399'!C50,'کوهرت 1400'!C50,'کوهرت 1401'!C50)</ns0:f>
        <ns0:v>-0.005184482406174024</ns0:v>
      </ns0:c>
      <ns0:c r="D243" s="78">
        <ns0:f>MIN('کوهرت 1392'!D50,'کوهرت 1393'!D50,'کوهرت 1394'!D50,'کوهرت 1397'!D50,'کوهرت 1398'!D50,'کوهرت 1399'!D50,'کوهرت 1400'!D50,'کوهرت 1401'!D50)</ns0:f>
        <ns0:v>-0.31557068586906906</ns0:v>
      </ns0:c>
      <ns0:c r="E243" s="78">
        <ns0:f>MIN('کوهرت 1392'!E50,'کوهرت 1393'!E50,'کوهرت 1394'!E50,'کوهرت 1397'!E50,'کوهرت 1398'!E50,'کوهرت 1399'!E50,'کوهرت 1400'!E50,'کوهرت 1401'!E50)</ns0:f>
        <ns0:v>0.1587903918178966</ns0:v>
      </ns0:c>
      <ns0:c r="F243" s="78">
        <ns0:f>MIN('کوهرت 1392'!F50,'کوهرت 1393'!F50,'کوهرت 1394'!F50,'کوهرت 1397'!F50,'کوهرت 1398'!F50,'کوهرت 1399'!F50,'کوهرت 1400'!F50,'کوهرت 1401'!F50)</ns0:f>
        <ns0:v>0.01221687649923266</ns0:v>
      </ns0:c>
      <ns0:c r="G243" s="78">
        <ns0:f>MIN('کوهرت 1392'!G50,'کوهرت 1393'!G50,'کوهرت 1394'!G50,'کوهرت 1397'!G50,'کوهرت 1398'!G50,'کوهرت 1399'!G50,'کوهرت 1400'!G50,'کوهرت 1401'!G50)</ns0:f>
        <ns0:v>-0.23636643984689074</ns0:v>
      </ns0:c>
      <ns0:c r="H243" s="78">
        <ns0:f>MIN('کوهرت 1392'!H50,'کوهرت 1393'!H50,'کوهرت 1394'!H50,'کوهرت 1397'!H50,'کوهرت 1398'!H50,'کوهرت 1399'!H50,'کوهرت 1400'!H50,'کوهرت 1401'!H50)</ns0:f>
        <ns0:v>-0.09593608440765271</ns0:v>
      </ns0:c>
      <ns0:c r="I243" s="78">
        <ns0:f>MIN('کوهرت 1392'!I50,'کوهرت 1393'!I50,'کوهرت 1394'!I50,'کوهرت 1397'!I50,'کوهرت 1398'!I50,'کوهرت 1399'!I50,'کوهرت 1400'!I50,'کوهرت 1401'!I50)</ns0:f>
        <ns0:v>-0.14408618477262672</ns0:v>
      </ns0:c>
      <ns0:c r="J243" s="77">
        <ns0:f>MIN('کوهرت 1392'!J50,'کوهرت 1393'!J50,'کوهرت 1394'!J50,'کوهرت 1397'!J50,'کوهرت 1398'!J50,'کوهرت 1399'!J50,'کوهرت 1400'!J50,'کوهرت 1401'!J50)</ns0:f>
        <ns0:v>-1.0014987850349366</ns0:v>
      </ns0:c>
      <ns0:c r="K243" s="78">
        <ns0:f>MIN('کوهرت 1392'!K50,'کوهرت 1393'!K50,'کوهرت 1394'!K50,'کوهرت 1397'!K50,'کوهرت 1398'!K50,'کوهرت 1399'!K50,'کوهرت 1400'!K50,'کوهرت 1401'!K50)</ns0:f>
        <ns0:v>-0.09707348520737448</ns0:v>
      </ns0:c>
      <ns0:c r="L243" s="78">
        <ns0:f>MIN('کوهرت 1392'!L50,'کوهرت 1393'!L50,'کوهرت 1394'!L50,'کوهرت 1397'!L50,'کوهرت 1398'!L50,'کوهرت 1399'!L50,'کوهرت 1400'!L50,'کوهرت 1401'!L50)</ns0:f>
        <ns0:v>-0.1730418284598184</ns0:v>
      </ns0:c>
      <ns0:c r="M243" s="78">
        <ns0:f>MIN('کوهرت 1392'!M50,'کوهرت 1393'!M50,'کوهرت 1394'!M50,'کوهرت 1397'!M50,'کوهرت 1398'!M50,'کوهرت 1399'!M50,'کوهرت 1400'!M50,'کوهرت 1401'!M50)</ns0:f>
        <ns0:v>0.04375747320405733</ns0:v>
      </ns0:c>
    </ns0:row>
    <ns0:row r="244" ht="30" customHeight="1">
      <ns0:c r="A244" s="73" t="inlineStr">
        <ns0:is>
          <ns0:t>قند، شیرینی و تنقلات</ns0:t>
        </ns0:is>
      </ns0:c>
      <ns0:c r="B244" s="78">
        <ns0:f>MIN('کوهرت 1392'!B51,'کوهرت 1393'!B51,'کوهرت 1394'!B51,'کوهرت 1397'!B51,'کوهرت 1398'!B51,'کوهرت 1399'!B51,'کوهرت 1400'!B51,'کوهرت 1401'!B51)</ns0:f>
        <ns0:v>-0.11836664939619512</ns0:v>
      </ns0:c>
      <ns0:c r="C244" s="78">
        <ns0:f>MIN('کوهرت 1392'!C51,'کوهرت 1393'!C51,'کوهرت 1394'!C51,'کوهرت 1397'!C51,'کوهرت 1398'!C51,'کوهرت 1399'!C51,'کوهرت 1400'!C51,'کوهرت 1401'!C51)</ns0:f>
        <ns0:v>-0.0736688302638712</ns0:v>
      </ns0:c>
      <ns0:c r="D244" s="78">
        <ns0:f>MIN('کوهرت 1392'!D51,'کوهرت 1393'!D51,'کوهرت 1394'!D51,'کوهرت 1397'!D51,'کوهرت 1398'!D51,'کوهرت 1399'!D51,'کوهرت 1400'!D51,'کوهرت 1401'!D51)</ns0:f>
        <ns0:v>-0.0037984996455323614</ns0:v>
      </ns0:c>
      <ns0:c r="E244" s="78">
        <ns0:f>MIN('کوهرت 1392'!E51,'کوهرت 1393'!E51,'کوهرت 1394'!E51,'کوهرت 1397'!E51,'کوهرت 1398'!E51,'کوهرت 1399'!E51,'کوهرت 1400'!E51,'کوهرت 1401'!E51)</ns0:f>
        <ns0:v>-0.11447480870135422</ns0:v>
      </ns0:c>
      <ns0:c r="F244" s="78">
        <ns0:f>MIN('کوهرت 1392'!F51,'کوهرت 1393'!F51,'کوهرت 1394'!F51,'کوهرت 1397'!F51,'کوهرت 1398'!F51,'کوهرت 1399'!F51,'کوهرت 1400'!F51,'کوهرت 1401'!F51)</ns0:f>
        <ns0:v>-0.009356984541935813</ns0:v>
      </ns0:c>
      <ns0:c r="G244" s="78">
        <ns0:f>MIN('کوهرت 1392'!G51,'کوهرت 1393'!G51,'کوهرت 1394'!G51,'کوهرت 1397'!G51,'کوهرت 1398'!G51,'کوهرت 1399'!G51,'کوهرت 1400'!G51,'کوهرت 1401'!G51)</ns0:f>
        <ns0:v>0.04664789673369153</ns0:v>
      </ns0:c>
      <ns0:c r="H244" s="78">
        <ns0:f>MIN('کوهرت 1392'!H51,'کوهرت 1393'!H51,'کوهرت 1394'!H51,'کوهرت 1397'!H51,'کوهرت 1398'!H51,'کوهرت 1399'!H51,'کوهرت 1400'!H51,'کوهرت 1401'!H51)</ns0:f>
        <ns0:v>-0.11155843761039196</ns0:v>
      </ns0:c>
      <ns0:c r="I244" s="78">
        <ns0:f>MIN('کوهرت 1392'!I51,'کوهرت 1393'!I51,'کوهرت 1394'!I51,'کوهرت 1397'!I51,'کوهرت 1398'!I51,'کوهرت 1399'!I51,'کوهرت 1400'!I51,'کوهرت 1401'!I51)</ns0:f>
        <ns0:v>-0.037682580025295856</ns0:v>
      </ns0:c>
      <ns0:c r="J244" s="78">
        <ns0:f>MIN('کوهرت 1392'!J51,'کوهرت 1393'!J51,'کوهرت 1394'!J51,'کوهرت 1397'!J51,'کوهرت 1398'!J51,'کوهرت 1399'!J51,'کوهرت 1400'!J51,'کوهرت 1401'!J51)</ns0:f>
        <ns0:v>-0.04026168012184094</ns0:v>
      </ns0:c>
      <ns0:c r="K244" s="77">
        <ns0:f>MIN('کوهرت 1392'!K51,'کوهرت 1393'!K51,'کوهرت 1394'!K51,'کوهرت 1397'!K51,'کوهرت 1398'!K51,'کوهرت 1399'!K51,'کوهرت 1400'!K51,'کوهرت 1401'!K51)</ns0:f>
        <ns0:v>-0.5805504030135582</ns0:v>
      </ns0:c>
      <ns0:c r="L244" s="78">
        <ns0:f>MIN('کوهرت 1392'!L51,'کوهرت 1393'!L51,'کوهرت 1394'!L51,'کوهرت 1397'!L51,'کوهرت 1398'!L51,'کوهرت 1399'!L51,'کوهرت 1400'!L51,'کوهرت 1401'!L51)</ns0:f>
        <ns0:v>-0.06741381270483911</ns0:v>
      </ns0:c>
      <ns0:c r="M244" s="78">
        <ns0:f>MIN('کوهرت 1392'!M51,'کوهرت 1393'!M51,'کوهرت 1394'!M51,'کوهرت 1397'!M51,'کوهرت 1398'!M51,'کوهرت 1399'!M51,'کوهرت 1400'!M51,'کوهرت 1401'!M51)</ns0:f>
        <ns0:v>-0.0064543245680658955</ns0:v>
      </ns0:c>
    </ns0:row>
    <ns0:row r="245" ht="30" customHeight="1">
      <ns0:c r="A245" s="73" t="inlineStr">
        <ns0:is>
          <ns0:t>نوشیدنی بدون نوشابه</ns0:t>
        </ns0:is>
      </ns0:c>
      <ns0:c r="B245" s="78">
        <ns0:f>MIN('کوهرت 1392'!B52,'کوهرت 1393'!B52,'کوهرت 1394'!B52,'کوهرت 1397'!B52,'کوهرت 1398'!B52,'کوهرت 1399'!B52,'کوهرت 1400'!B52,'کوهرت 1401'!B52)</ns0:f>
        <ns0:v>-0.27844283909795137</ns0:v>
      </ns0:c>
      <ns0:c r="C245" s="78">
        <ns0:f>MIN('کوهرت 1392'!C52,'کوهرت 1393'!C52,'کوهرت 1394'!C52,'کوهرت 1397'!C52,'کوهرت 1398'!C52,'کوهرت 1399'!C52,'کوهرت 1400'!C52,'کوهرت 1401'!C52)</ns0:f>
        <ns0:v>0.1357915758760101</ns0:v>
      </ns0:c>
      <ns0:c r="D245" s="78">
        <ns0:f>MIN('کوهرت 1392'!D52,'کوهرت 1393'!D52,'کوهرت 1394'!D52,'کوهرت 1397'!D52,'کوهرت 1398'!D52,'کوهرت 1399'!D52,'کوهرت 1400'!D52,'کوهرت 1401'!D52)</ns0:f>
        <ns0:v>-0.1045611873070054</ns0:v>
      </ns0:c>
      <ns0:c r="E245" s="78">
        <ns0:f>MIN('کوهرت 1392'!E52,'کوهرت 1393'!E52,'کوهرت 1394'!E52,'کوهرت 1397'!E52,'کوهرت 1398'!E52,'کوهرت 1399'!E52,'کوهرت 1400'!E52,'کوهرت 1401'!E52)</ns0:f>
        <ns0:v>0.23351570828863688</ns0:v>
      </ns0:c>
      <ns0:c r="F245" s="78">
        <ns0:f>MIN('کوهرت 1392'!F52,'کوهرت 1393'!F52,'کوهرت 1394'!F52,'کوهرت 1397'!F52,'کوهرت 1398'!F52,'کوهرت 1399'!F52,'کوهرت 1400'!F52,'کوهرت 1401'!F52)</ns0:f>
        <ns0:v>-0.1097222502064828</ns0:v>
      </ns0:c>
      <ns0:c r="G245" s="78">
        <ns0:f>MIN('کوهرت 1392'!G52,'کوهرت 1393'!G52,'کوهرت 1394'!G52,'کوهرت 1397'!G52,'کوهرت 1398'!G52,'کوهرت 1399'!G52,'کوهرت 1400'!G52,'کوهرت 1401'!G52)</ns0:f>
        <ns0:v>-0.042021580660401715</ns0:v>
      </ns0:c>
      <ns0:c r="H245" s="78">
        <ns0:f>MIN('کوهرت 1392'!H52,'کوهرت 1393'!H52,'کوهرت 1394'!H52,'کوهرت 1397'!H52,'کوهرت 1398'!H52,'کوهرت 1399'!H52,'کوهرت 1400'!H52,'کوهرت 1401'!H52)</ns0:f>
        <ns0:v>0.1315913884537924</ns0:v>
      </ns0:c>
      <ns0:c r="I245" s="78">
        <ns0:f>MIN('کوهرت 1392'!I52,'کوهرت 1393'!I52,'کوهرت 1394'!I52,'کوهرت 1397'!I52,'کوهرت 1398'!I52,'کوهرت 1399'!I52,'کوهرت 1400'!I52,'کوهرت 1401'!I52)</ns0:f>
        <ns0:v>0.05788859535687505</ns0:v>
      </ns0:c>
      <ns0:c r="J245" s="78">
        <ns0:f>MIN('کوهرت 1392'!J52,'کوهرت 1393'!J52,'کوهرت 1394'!J52,'کوهرت 1397'!J52,'کوهرت 1398'!J52,'کوهرت 1399'!J52,'کوهرت 1400'!J52,'کوهرت 1401'!J52)</ns0:f>
        <ns0:v>-0.1314087187182971</ns0:v>
      </ns0:c>
      <ns0:c r="K245" s="78">
        <ns0:f>MIN('کوهرت 1392'!K52,'کوهرت 1393'!K52,'کوهرت 1394'!K52,'کوهرت 1397'!K52,'کوهرت 1398'!K52,'کوهرت 1399'!K52,'کوهرت 1400'!K52,'کوهرت 1401'!K52)</ns0:f>
        <ns0:v>-0.22950208376900455</ns0:v>
      </ns0:c>
      <ns0:c r="L245" s="77">
        <ns0:f>MIN('کوهرت 1392'!L52,'کوهرت 1393'!L52,'کوهرت 1394'!L52,'کوهرت 1397'!L52,'کوهرت 1398'!L52,'کوهرت 1399'!L52,'کوهرت 1400'!L52,'کوهرت 1401'!L52)</ns0:f>
        <ns0:v>-0.8939452411903939</ns0:v>
      </ns0:c>
      <ns0:c r="M245" s="78">
        <ns0:f>MIN('کوهرت 1392'!M52,'کوهرت 1393'!M52,'کوهرت 1394'!M52,'کوهرت 1397'!M52,'کوهرت 1398'!M52,'کوهرت 1399'!M52,'کوهرت 1400'!M52,'کوهرت 1401'!M52)</ns0:f>
        <ns0:v>0.05637238758723044</ns0:v>
      </ns0:c>
    </ns0:row>
    <ns0:row r="246" ht="30" customHeight="1">
      <ns0:c r="A246" s="73" t="inlineStr">
        <ns0:is>
          <ns0:t>ادویه و چاشنی</ns0:t>
        </ns0:is>
      </ns0:c>
      <ns0:c r="B246" s="78">
        <ns0:f>MIN('کوهرت 1392'!B53,'کوهرت 1393'!B53,'کوهرت 1394'!B53,'کوهرت 1397'!B53,'کوهرت 1398'!B53,'کوهرت 1399'!B53,'کوهرت 1400'!B53,'کوهرت 1401'!B53)</ns0:f>
        <ns0:v>0.22033776338249708</ns0:v>
      </ns0:c>
      <ns0:c r="C246" s="78">
        <ns0:f>MIN('کوهرت 1392'!C53,'کوهرت 1393'!C53,'کوهرت 1394'!C53,'کوهرت 1397'!C53,'کوهرت 1398'!C53,'کوهرت 1399'!C53,'کوهرت 1400'!C53,'کوهرت 1401'!C53)</ns0:f>
        <ns0:v>-0.1292094761102336</ns0:v>
      </ns0:c>
      <ns0:c r="D246" s="78">
        <ns0:f>MIN('کوهرت 1392'!D53,'کوهرت 1393'!D53,'کوهرت 1394'!D53,'کوهرت 1397'!D53,'کوهرت 1398'!D53,'کوهرت 1399'!D53,'کوهرت 1400'!D53,'کوهرت 1401'!D53)</ns0:f>
        <ns0:v>-0.15705144787482161</ns0:v>
      </ns0:c>
      <ns0:c r="E246" s="78">
        <ns0:f>MIN('کوهرت 1392'!E53,'کوهرت 1393'!E53,'کوهرت 1394'!E53,'کوهرت 1397'!E53,'کوهرت 1398'!E53,'کوهرت 1399'!E53,'کوهرت 1400'!E53,'کوهرت 1401'!E53)</ns0:f>
        <ns0:v>-0.3387356253715412</ns0:v>
      </ns0:c>
      <ns0:c r="F246" s="78">
        <ns0:f>MIN('کوهرت 1392'!F53,'کوهرت 1393'!F53,'کوهرت 1394'!F53,'کوهرت 1397'!F53,'کوهرت 1398'!F53,'کوهرت 1399'!F53,'کوهرت 1400'!F53,'کوهرت 1401'!F53)</ns0:f>
        <ns0:v>-0.04855969759311957</ns0:v>
      </ns0:c>
      <ns0:c r="G246" s="78">
        <ns0:f>MIN('کوهرت 1392'!G53,'کوهرت 1393'!G53,'کوهرت 1394'!G53,'کوهرت 1397'!G53,'کوهرت 1398'!G53,'کوهرت 1399'!G53,'کوهرت 1400'!G53,'کوهرت 1401'!G53)</ns0:f>
        <ns0:v>0.059303587367205514</ns0:v>
      </ns0:c>
      <ns0:c r="H246" s="78">
        <ns0:f>MIN('کوهرت 1392'!H53,'کوهرت 1393'!H53,'کوهرت 1394'!H53,'کوهرت 1397'!H53,'کوهرت 1398'!H53,'کوهرت 1399'!H53,'کوهرت 1400'!H53,'کوهرت 1401'!H53)</ns0:f>
        <ns0:v>-0.09271335567813373</ns0:v>
      </ns0:c>
      <ns0:c r="I246" s="78">
        <ns0:f>MIN('کوهرت 1392'!I53,'کوهرت 1393'!I53,'کوهرت 1394'!I53,'کوهرت 1397'!I53,'کوهرت 1398'!I53,'کوهرت 1399'!I53,'کوهرت 1400'!I53,'کوهرت 1401'!I53)</ns0:f>
        <ns0:v>-0.03349502721375898</ns0:v>
      </ns0:c>
      <ns0:c r="J246" s="78">
        <ns0:f>MIN('کوهرت 1392'!J53,'کوهرت 1393'!J53,'کوهرت 1394'!J53,'کوهرت 1397'!J53,'کوهرت 1398'!J53,'کوهرت 1399'!J53,'کوهرت 1400'!J53,'کوهرت 1401'!J53)</ns0:f>
        <ns0:v>0.1684555048587385</ns0:v>
      </ns0:c>
      <ns0:c r="K246" s="78">
        <ns0:f>MIN('کوهرت 1392'!K53,'کوهرت 1393'!K53,'کوهرت 1394'!K53,'کوهرت 1397'!K53,'کوهرت 1398'!K53,'کوهرت 1399'!K53,'کوهرت 1400'!K53,'کوهرت 1401'!K53)</ns0:f>
        <ns0:v>-0.036005071120978505</ns0:v>
      </ns0:c>
      <ns0:c r="L246" s="78">
        <ns0:f>MIN('کوهرت 1392'!L53,'کوهرت 1393'!L53,'کوهرت 1394'!L53,'کوهرت 1397'!L53,'کوهرت 1398'!L53,'کوهرت 1399'!L53,'کوهرت 1400'!L53,'کوهرت 1401'!L53)</ns0:f>
        <ns0:v>0.02136354766715736</ns0:v>
      </ns0:c>
      <ns0:c r="M246" s="77">
        <ns0:f>MIN('کوهرت 1392'!M53,'کوهرت 1393'!M53,'کوهرت 1394'!M53,'کوهرت 1397'!M53,'کوهرت 1398'!M53,'کوهرت 1399'!M53,'کوهرت 1400'!M53,'کوهرت 1401'!M53)</ns0:f>
        <ns0:v>-0.46948350079964685</ns0:v>
      </ns0:c>
    </ns0:row>
    <ns0:row r="250" ht="28" customHeight="1">
      <ns0:c r="A250" s="76" t="inlineStr">
        <ns0:is>
          <ns0:t>کوهرت • بیشینه کشش مارشالی ۱۲×۱۲ | B2</ns0:t>
        </ns0:is>
      </ns0:c>
      <ns0:c r="B250" s="1" t="n"/>
      <ns0:c r="C250" s="1" t="n"/>
      <ns0:c r="D250" s="1" t="n"/>
      <ns0:c r="E250" s="1" t="n"/>
      <ns0:c r="F250" s="1" t="n"/>
      <ns0:c r="G250" s="1" t="n"/>
      <ns0:c r="H250" s="1" t="n"/>
      <ns0:c r="I250" s="1" t="n"/>
      <ns0:c r="J250" s="1" t="n"/>
      <ns0:c r="K250" s="1" t="n"/>
      <ns0:c r="L250" s="1" t="n"/>
      <ns0:c r="M250" s="1" t="n"/>
    </ns0:row>
    <ns0:row r="251" ht="58" customHeight="1">
      <ns0:c r="A251" s="72" t="inlineStr">
        <ns0:is>
          <ns0:t>گروه تقاضا ↓ / گروه قیمت →</ns0:t>
        </ns0:is>
      </ns0:c>
      <ns0:c r="B251" s="72" t="inlineStr">
        <ns0:is>
          <ns0:t>برنج</ns0:t>
        </ns0:is>
      </ns0:c>
      <ns0:c r="C251" s="72" t="inlineStr">
        <ns0:is>
          <ns0:t>نان و غلات</ns0:t>
        </ns0:is>
      </ns0:c>
      <ns0:c r="D251" s="72" t="inlineStr">
        <ns0:is>
          <ns0:t>گوشت</ns0:t>
        </ns0:is>
      </ns0:c>
      <ns0:c r="E251" s="72" t="inlineStr">
        <ns0:is>
          <ns0:t>لبنیات و تخم‌مرغ</ns0:t>
        </ns0:is>
      </ns0:c>
      <ns0:c r="F251" s="72" t="inlineStr">
        <ns0:is>
          <ns0:t>روغن و چربی</ns0:t>
        </ns0:is>
      </ns0:c>
      <ns0:c r="G251" s="72" t="inlineStr">
        <ns0:is>
          <ns0:t>میوه</ns0:t>
        </ns0:is>
      </ns0:c>
      <ns0:c r="H251" s="72" t="inlineStr">
        <ns0:is>
          <ns0:t>سبزیجات و سیب‌زمینی</ns0:t>
        </ns0:is>
      </ns0:c>
      <ns0:c r="I251" s="72" t="inlineStr">
        <ns0:is>
          <ns0:t>حبوبات</ns0:t>
        </ns0:is>
      </ns0:c>
      <ns0:c r="J251" s="72" t="inlineStr">
        <ns0:is>
          <ns0:t>مغزها، خشکبار و خرما</ns0:t>
        </ns0:is>
      </ns0:c>
      <ns0:c r="K251" s="72" t="inlineStr">
        <ns0:is>
          <ns0:t>قند، شیرینی و تنقلات</ns0:t>
        </ns0:is>
      </ns0:c>
      <ns0:c r="L251" s="72" t="inlineStr">
        <ns0:is>
          <ns0:t>نوشیدنی بدون نوشابه</ns0:t>
        </ns0:is>
      </ns0:c>
      <ns0:c r="M251" s="72" t="inlineStr">
        <ns0:is>
          <ns0:t>ادویه و چاشنی</ns0:t>
        </ns0:is>
      </ns0:c>
    </ns0:row>
    <ns0:row r="252" ht="30" customHeight="1">
      <ns0:c r="A252" s="73" t="inlineStr">
        <ns0:is>
          <ns0:t>برنج</ns0:t>
        </ns0:is>
      </ns0:c>
      <ns0:c r="B252" s="77">
        <ns0:f>MAX('کوهرت 1392'!B42,'کوهرت 1393'!B42,'کوهرت 1394'!B42,'کوهرت 1397'!B42,'کوهرت 1398'!B42,'کوهرت 1399'!B42,'کوهرت 1400'!B42,'کوهرت 1401'!B42)</ns0:f>
        <ns0:v>-1.0737239357416282</ns0:v>
      </ns0:c>
      <ns0:c r="C252" s="78">
        <ns0:f>MAX('کوهرت 1392'!C42,'کوهرت 1393'!C42,'کوهرت 1394'!C42,'کوهرت 1397'!C42,'کوهرت 1398'!C42,'کوهرت 1399'!C42,'کوهرت 1400'!C42,'کوهرت 1401'!C42)</ns0:f>
        <ns0:v>0.01925904076854025</ns0:v>
      </ns0:c>
      <ns0:c r="D252" s="78">
        <ns0:f>MAX('کوهرت 1392'!D42,'کوهرت 1393'!D42,'کوهرت 1394'!D42,'کوهرت 1397'!D42,'کوهرت 1398'!D42,'کوهرت 1399'!D42,'کوهرت 1400'!D42,'کوهرت 1401'!D42)</ns0:f>
        <ns0:v>-0.10420037804891595</ns0:v>
      </ns0:c>
      <ns0:c r="E252" s="78">
        <ns0:f>MAX('کوهرت 1392'!E42,'کوهرت 1393'!E42,'کوهرت 1394'!E42,'کوهرت 1397'!E42,'کوهرت 1398'!E42,'کوهرت 1399'!E42,'کوهرت 1400'!E42,'کوهرت 1401'!E42)</ns0:f>
        <ns0:v>0.01936405188061198</ns0:v>
      </ns0:c>
      <ns0:c r="F252" s="78">
        <ns0:f>MAX('کوهرت 1392'!F42,'کوهرت 1393'!F42,'کوهرت 1394'!F42,'کوهرت 1397'!F42,'کوهرت 1398'!F42,'کوهرت 1399'!F42,'کوهرت 1400'!F42,'کوهرت 1401'!F42)</ns0:f>
        <ns0:v>-0.029456526456910895</ns0:v>
      </ns0:c>
      <ns0:c r="G252" s="78">
        <ns0:f>MAX('کوهرت 1392'!G42,'کوهرت 1393'!G42,'کوهرت 1394'!G42,'کوهرت 1397'!G42,'کوهرت 1398'!G42,'کوهرت 1399'!G42,'کوهرت 1400'!G42,'کوهرت 1401'!G42)</ns0:f>
        <ns0:v>-0.07673958325039351</ns0:v>
      </ns0:c>
      <ns0:c r="H252" s="78">
        <ns0:f>MAX('کوهرت 1392'!H42,'کوهرت 1393'!H42,'کوهرت 1394'!H42,'کوهرت 1397'!H42,'کوهرت 1398'!H42,'کوهرت 1399'!H42,'کوهرت 1400'!H42,'کوهرت 1401'!H42)</ns0:f>
        <ns0:v>-0.0934188307087226</ns0:v>
      </ns0:c>
      <ns0:c r="I252" s="78">
        <ns0:f>MAX('کوهرت 1392'!I42,'کوهرت 1393'!I42,'کوهرت 1394'!I42,'کوهرت 1397'!I42,'کوهرت 1398'!I42,'کوهرت 1399'!I42,'کوهرت 1400'!I42,'کوهرت 1401'!I42)</ns0:f>
        <ns0:v>-0.029230002790549627</ns0:v>
      </ns0:c>
      <ns0:c r="J252" s="78">
        <ns0:f>MAX('کوهرت 1392'!J42,'کوهرت 1393'!J42,'کوهرت 1394'!J42,'کوهرت 1397'!J42,'کوهرت 1398'!J42,'کوهرت 1399'!J42,'کوهرت 1400'!J42,'کوهرت 1401'!J42)</ns0:f>
        <ns0:v>-0.007958507904492098</ns0:v>
      </ns0:c>
      <ns0:c r="K252" s="78">
        <ns0:f>MAX('کوهرت 1392'!K42,'کوهرت 1393'!K42,'کوهرت 1394'!K42,'کوهرت 1397'!K42,'کوهرت 1398'!K42,'کوهرت 1399'!K42,'کوهرت 1400'!K42,'کوهرت 1401'!K42)</ns0:f>
        <ns0:v>-0.0821309492443527</ns0:v>
      </ns0:c>
      <ns0:c r="L252" s="78">
        <ns0:f>MAX('کوهرت 1392'!L42,'کوهرت 1393'!L42,'کوهرت 1394'!L42,'کوهرت 1397'!L42,'کوهرت 1398'!L42,'کوهرت 1399'!L42,'کوهرت 1400'!L42,'کوهرت 1401'!L42)</ns0:f>
        <ns0:v>-0.12027212419320332</ns0:v>
      </ns0:c>
      <ns0:c r="M252" s="78">
        <ns0:f>MAX('کوهرت 1392'!M42,'کوهرت 1393'!M42,'کوهرت 1394'!M42,'کوهرت 1397'!M42,'کوهرت 1398'!M42,'کوهرت 1399'!M42,'کوهرت 1400'!M42,'کوهرت 1401'!M42)</ns0:f>
        <ns0:v>0.050678035482456134</ns0:v>
      </ns0:c>
    </ns0:row>
    <ns0:row r="253" ht="30" customHeight="1">
      <ns0:c r="A253" s="73" t="inlineStr">
        <ns0:is>
          <ns0:t>نان و غلات</ns0:t>
        </ns0:is>
      </ns0:c>
      <ns0:c r="B253" s="78">
        <ns0:f>MAX('کوهرت 1392'!B43,'کوهرت 1393'!B43,'کوهرت 1394'!B43,'کوهرت 1397'!B43,'کوهرت 1398'!B43,'کوهرت 1399'!B43,'کوهرت 1400'!B43,'کوهرت 1401'!B43)</ns0:f>
        <ns0:v>0.1766713342233573</ns0:v>
      </ns0:c>
      <ns0:c r="C253" s="77">
        <ns0:f>MAX('کوهرت 1392'!C43,'کوهرت 1393'!C43,'کوهرت 1394'!C43,'کوهرت 1397'!C43,'کوهرت 1398'!C43,'کوهرت 1399'!C43,'کوهرت 1400'!C43,'کوهرت 1401'!C43)</ns0:f>
        <ns0:v>-0.46075978479377067</ns0:v>
      </ns0:c>
      <ns0:c r="D253" s="78">
        <ns0:f>MAX('کوهرت 1392'!D43,'کوهرت 1393'!D43,'کوهرت 1394'!D43,'کوهرت 1397'!D43,'کوهرت 1398'!D43,'کوهرت 1399'!D43,'کوهرت 1400'!D43,'کوهرت 1401'!D43)</ns0:f>
        <ns0:v>0.42489129307836493</ns0:v>
      </ns0:c>
      <ns0:c r="E253" s="78">
        <ns0:f>MAX('کوهرت 1392'!E43,'کوهرت 1393'!E43,'کوهرت 1394'!E43,'کوهرت 1397'!E43,'کوهرت 1398'!E43,'کوهرت 1399'!E43,'کوهرت 1400'!E43,'کوهرت 1401'!E43)</ns0:f>
        <ns0:v>-0.09200197793730228</ns0:v>
      </ns0:c>
      <ns0:c r="F253" s="78">
        <ns0:f>MAX('کوهرت 1392'!F43,'کوهرت 1393'!F43,'کوهرت 1394'!F43,'کوهرت 1397'!F43,'کوهرت 1398'!F43,'کوهرت 1399'!F43,'کوهرت 1400'!F43,'کوهرت 1401'!F43)</ns0:f>
        <ns0:v>0.01445774537268238</ns0:v>
      </ns0:c>
      <ns0:c r="G253" s="78">
        <ns0:f>MAX('کوهرت 1392'!G43,'کوهرت 1393'!G43,'کوهرت 1394'!G43,'کوهرت 1397'!G43,'کوهرت 1398'!G43,'کوهرت 1399'!G43,'کوهرت 1400'!G43,'کوهرت 1401'!G43)</ns0:f>
        <ns0:v>0.058056175071287366</ns0:v>
      </ns0:c>
      <ns0:c r="H253" s="78">
        <ns0:f>MAX('کوهرت 1392'!H43,'کوهرت 1393'!H43,'کوهرت 1394'!H43,'کوهرت 1397'!H43,'کوهرت 1398'!H43,'کوهرت 1399'!H43,'کوهرت 1400'!H43,'کوهرت 1401'!H43)</ns0:f>
        <ns0:v>-0.0688941750855102</ns0:v>
      </ns0:c>
      <ns0:c r="I253" s="78">
        <ns0:f>MAX('کوهرت 1392'!I43,'کوهرت 1393'!I43,'کوهرت 1394'!I43,'کوهرت 1397'!I43,'کوهرت 1398'!I43,'کوهرت 1399'!I43,'کوهرت 1400'!I43,'کوهرت 1401'!I43)</ns0:f>
        <ns0:v>0.07093655942134842</ns0:v>
      </ns0:c>
      <ns0:c r="J253" s="78">
        <ns0:f>MAX('کوهرت 1392'!J43,'کوهرت 1393'!J43,'کوهرت 1394'!J43,'کوهرت 1397'!J43,'کوهرت 1398'!J43,'کوهرت 1399'!J43,'کوهرت 1400'!J43,'کوهرت 1401'!J43)</ns0:f>
        <ns0:v>0.049729191784529996</ns0:v>
      </ns0:c>
      <ns0:c r="K253" s="78">
        <ns0:f>MAX('کوهرت 1392'!K43,'کوهرت 1393'!K43,'کوهرت 1394'!K43,'کوهرت 1397'!K43,'کوهرت 1398'!K43,'کوهرت 1399'!K43,'کوهرت 1400'!K43,'کوهرت 1401'!K43)</ns0:f>
        <ns0:v>0.006162634135098143</ns0:v>
      </ns0:c>
      <ns0:c r="L253" s="78">
        <ns0:f>MAX('کوهرت 1392'!L43,'کوهرت 1393'!L43,'کوهرت 1394'!L43,'کوهرت 1397'!L43,'کوهرت 1398'!L43,'کوهرت 1399'!L43,'کوهرت 1400'!L43,'کوهرت 1401'!L43)</ns0:f>
        <ns0:v>0.15245848846270044</ns0:v>
      </ns0:c>
      <ns0:c r="M253" s="78">
        <ns0:f>MAX('کوهرت 1392'!M43,'کوهرت 1393'!M43,'کوهرت 1394'!M43,'کوهرت 1397'!M43,'کوهرت 1398'!M43,'کوهرت 1399'!M43,'کوهرت 1400'!M43,'کوهرت 1401'!M43)</ns0:f>
        <ns0:v>-0.029731685865318068</ns0:v>
      </ns0:c>
    </ns0:row>
    <ns0:row r="254" ht="30" customHeight="1">
      <ns0:c r="A254" s="73" t="inlineStr">
        <ns0:is>
          <ns0:t>گوشت</ns0:t>
        </ns0:is>
      </ns0:c>
      <ns0:c r="B254" s="78">
        <ns0:f>MAX('کوهرت 1392'!B44,'کوهرت 1393'!B44,'کوهرت 1394'!B44,'کوهرت 1397'!B44,'کوهرت 1398'!B44,'کوهرت 1399'!B44,'کوهرت 1400'!B44,'کوهرت 1401'!B44)</ns0:f>
        <ns0:v>0.0012014251364544683</ns0:v>
      </ns0:c>
      <ns0:c r="C254" s="78">
        <ns0:f>MAX('کوهرت 1392'!C44,'کوهرت 1393'!C44,'کوهرت 1394'!C44,'کوهرت 1397'!C44,'کوهرت 1398'!C44,'کوهرت 1399'!C44,'کوهرت 1400'!C44,'کوهرت 1401'!C44)</ns0:f>
        <ns0:v>0.021459170009972474</ns0:v>
      </ns0:c>
      <ns0:c r="D254" s="77">
        <ns0:f>MAX('کوهرت 1392'!D44,'کوهرت 1393'!D44,'کوهرت 1394'!D44,'کوهرت 1397'!D44,'کوهرت 1398'!D44,'کوهرت 1399'!D44,'کوهرت 1400'!D44,'کوهرت 1401'!D44)</ns0:f>
        <ns0:v>-0.9194367027596981</ns0:v>
      </ns0:c>
      <ns0:c r="E254" s="78">
        <ns0:f>MAX('کوهرت 1392'!E44,'کوهرت 1393'!E44,'کوهرت 1394'!E44,'کوهرت 1397'!E44,'کوهرت 1398'!E44,'کوهرت 1399'!E44,'کوهرت 1400'!E44,'کوهرت 1401'!E44)</ns0:f>
        <ns0:v>-0.017991313406647315</ns0:v>
      </ns0:c>
      <ns0:c r="F254" s="78">
        <ns0:f>MAX('کوهرت 1392'!F44,'کوهرت 1393'!F44,'کوهرت 1394'!F44,'کوهرت 1397'!F44,'کوهرت 1398'!F44,'کوهرت 1399'!F44,'کوهرت 1400'!F44,'کوهرت 1401'!F44)</ns0:f>
        <ns0:v>-0.07059629152363424</ns0:v>
      </ns0:c>
      <ns0:c r="G254" s="78">
        <ns0:f>MAX('کوهرت 1392'!G44,'کوهرت 1393'!G44,'کوهرت 1394'!G44,'کوهرت 1397'!G44,'کوهرت 1398'!G44,'کوهرت 1399'!G44,'کوهرت 1400'!G44,'کوهرت 1401'!G44)</ns0:f>
        <ns0:v>-0.003106606967787316</ns0:v>
      </ns0:c>
      <ns0:c r="H254" s="78">
        <ns0:f>MAX('کوهرت 1392'!H44,'کوهرت 1393'!H44,'کوهرت 1394'!H44,'کوهرت 1397'!H44,'کوهرت 1398'!H44,'کوهرت 1399'!H44,'کوهرت 1400'!H44,'کوهرت 1401'!H44)</ns0:f>
        <ns0:v>-0.08946001968981068</ns0:v>
      </ns0:c>
      <ns0:c r="I254" s="78">
        <ns0:f>MAX('کوهرت 1392'!I44,'کوهرت 1393'!I44,'کوهرت 1394'!I44,'کوهرت 1397'!I44,'کوهرت 1398'!I44,'کوهرت 1399'!I44,'کوهرت 1400'!I44,'کوهرت 1401'!I44)</ns0:f>
        <ns0:v>-0.01944752782428542</ns0:v>
      </ns0:c>
      <ns0:c r="J254" s="78">
        <ns0:f>MAX('کوهرت 1392'!J44,'کوهرت 1393'!J44,'کوهرت 1394'!J44,'کوهرت 1397'!J44,'کوهرت 1398'!J44,'کوهرت 1399'!J44,'کوهرت 1400'!J44,'کوهرت 1401'!J44)</ns0:f>
        <ns0:v>-0.03367524259477798</ns0:v>
      </ns0:c>
      <ns0:c r="K254" s="78">
        <ns0:f>MAX('کوهرت 1392'!K44,'کوهرت 1393'!K44,'کوهرت 1394'!K44,'کوهرت 1397'!K44,'کوهرت 1398'!K44,'کوهرت 1399'!K44,'کوهرت 1400'!K44,'کوهرت 1401'!K44)</ns0:f>
        <ns0:v>-0.0007358876227757358</ns0:v>
      </ns0:c>
      <ns0:c r="L254" s="78">
        <ns0:f>MAX('کوهرت 1392'!L44,'کوهرت 1393'!L44,'کوهرت 1394'!L44,'کوهرت 1397'!L44,'کوهرت 1398'!L44,'کوهرت 1399'!L44,'کوهرت 1400'!L44,'کوهرت 1401'!L44)</ns0:f>
        <ns0:v>-0.04158906637152278</ns0:v>
      </ns0:c>
      <ns0:c r="M254" s="78">
        <ns0:f>MAX('کوهرت 1392'!M44,'کوهرت 1393'!M44,'کوهرت 1394'!M44,'کوهرت 1397'!M44,'کوهرت 1398'!M44,'کوهرت 1399'!M44,'کوهرت 1400'!M44,'کوهرت 1401'!M44)</ns0:f>
        <ns0:v>-0.04069709885028176</ns0:v>
      </ns0:c>
    </ns0:row>
    <ns0:row r="255" ht="30" customHeight="1">
      <ns0:c r="A255" s="73" t="inlineStr">
        <ns0:is>
          <ns0:t>لبنیات و تخم‌مرغ</ns0:t>
        </ns0:is>
      </ns0:c>
      <ns0:c r="B255" s="78">
        <ns0:f>MAX('کوهرت 1392'!B45,'کوهرت 1393'!B45,'کوهرت 1394'!B45,'کوهرت 1397'!B45,'کوهرت 1398'!B45,'کوهرت 1399'!B45,'کوهرت 1400'!B45,'کوهرت 1401'!B45)</ns0:f>
        <ns0:v>0.11469872275041018</ns0:v>
      </ns0:c>
      <ns0:c r="C255" s="78">
        <ns0:f>MAX('کوهرت 1392'!C45,'کوهرت 1393'!C45,'کوهرت 1394'!C45,'کوهرت 1397'!C45,'کوهرت 1398'!C45,'کوهرت 1399'!C45,'کوهرت 1400'!C45,'کوهرت 1401'!C45)</ns0:f>
        <ns0:v>-0.15521263583521724</ns0:v>
      </ns0:c>
      <ns0:c r="D255" s="78">
        <ns0:f>MAX('کوهرت 1392'!D45,'کوهرت 1393'!D45,'کوهرت 1394'!D45,'کوهرت 1397'!D45,'کوهرت 1398'!D45,'کوهرت 1399'!D45,'کوهرت 1400'!D45,'کوهرت 1401'!D45)</ns0:f>
        <ns0:v>0.06306722342441104</ns0:v>
      </ns0:c>
      <ns0:c r="E255" s="77">
        <ns0:f>MAX('کوهرت 1392'!E45,'کوهرت 1393'!E45,'کوهرت 1394'!E45,'کوهرت 1397'!E45,'کوهرت 1398'!E45,'کوهرت 1399'!E45,'کوهرت 1400'!E45,'کوهرت 1401'!E45)</ns0:f>
        <ns0:v>-0.7838953230146795</ns0:v>
      </ns0:c>
      <ns0:c r="F255" s="78">
        <ns0:f>MAX('کوهرت 1392'!F45,'کوهرت 1393'!F45,'کوهرت 1394'!F45,'کوهرت 1397'!F45,'کوهرت 1398'!F45,'کوهرت 1399'!F45,'کوهرت 1400'!F45,'کوهرت 1401'!F45)</ns0:f>
        <ns0:v>-0.007812659349645474</ns0:v>
      </ns0:c>
      <ns0:c r="G255" s="78">
        <ns0:f>MAX('کوهرت 1392'!G45,'کوهرت 1393'!G45,'کوهرت 1394'!G45,'کوهرت 1397'!G45,'کوهرت 1398'!G45,'کوهرت 1399'!G45,'کوهرت 1400'!G45,'کوهرت 1401'!G45)</ns0:f>
        <ns0:v>0.0361960226784052</ns0:v>
      </ns0:c>
      <ns0:c r="H255" s="78">
        <ns0:f>MAX('کوهرت 1392'!H45,'کوهرت 1393'!H45,'کوهرت 1394'!H45,'کوهرت 1397'!H45,'کوهرت 1398'!H45,'کوهرت 1399'!H45,'کوهرت 1400'!H45,'کوهرت 1401'!H45)</ns0:f>
        <ns0:v>-0.1289405085140081</ns0:v>
      </ns0:c>
      <ns0:c r="I255" s="78">
        <ns0:f>MAX('کوهرت 1392'!I45,'کوهرت 1393'!I45,'کوهرت 1394'!I45,'کوهرت 1397'!I45,'کوهرت 1398'!I45,'کوهرت 1399'!I45,'کوهرت 1400'!I45,'کوهرت 1401'!I45)</ns0:f>
        <ns0:v>0.046279036492295506</ns0:v>
      </ns0:c>
      <ns0:c r="J255" s="78">
        <ns0:f>MAX('کوهرت 1392'!J45,'کوهرت 1393'!J45,'کوهرت 1394'!J45,'کوهرت 1397'!J45,'کوهرت 1398'!J45,'کوهرت 1399'!J45,'کوهرت 1400'!J45,'کوهرت 1401'!J45)</ns0:f>
        <ns0:v>0.11199542171902171</ns0:v>
      </ns0:c>
      <ns0:c r="K255" s="78">
        <ns0:f>MAX('کوهرت 1392'!K45,'کوهرت 1393'!K45,'کوهرت 1394'!K45,'کوهرت 1397'!K45,'کوهرت 1398'!K45,'کوهرت 1399'!K45,'کوهرت 1400'!K45,'کوهرت 1401'!K45)</ns0:f>
        <ns0:v>-0.045549551079487646</ns0:v>
      </ns0:c>
      <ns0:c r="L255" s="78">
        <ns0:f>MAX('کوهرت 1392'!L45,'کوهرت 1393'!L45,'کوهرت 1394'!L45,'کوهرت 1397'!L45,'کوهرت 1398'!L45,'کوهرت 1399'!L45,'کوهرت 1400'!L45,'کوهرت 1401'!L45)</ns0:f>
        <ns0:v>0.11408240281505827</ns0:v>
      </ns0:c>
      <ns0:c r="M255" s="78">
        <ns0:f>MAX('کوهرت 1392'!M45,'کوهرت 1393'!M45,'کوهرت 1394'!M45,'کوهرت 1397'!M45,'کوهرت 1398'!M45,'کوهرت 1399'!M45,'کوهرت 1400'!M45,'کوهرت 1401'!M45)</ns0:f>
        <ns0:v>-0.10177295716288019</ns0:v>
      </ns0:c>
    </ns0:row>
    <ns0:row r="256" ht="30" customHeight="1">
      <ns0:c r="A256" s="73" t="inlineStr">
        <ns0:is>
          <ns0:t>روغن و چربی</ns0:t>
        </ns0:is>
      </ns0:c>
      <ns0:c r="B256" s="78">
        <ns0:f>MAX('کوهرت 1392'!B46,'کوهرت 1393'!B46,'کوهرت 1394'!B46,'کوهرت 1397'!B46,'کوهرت 1398'!B46,'کوهرت 1399'!B46,'کوهرت 1400'!B46,'کوهرت 1401'!B46)</ns0:f>
        <ns0:v>0.020351895955612577</ns0:v>
      </ns0:c>
      <ns0:c r="C256" s="78">
        <ns0:f>MAX('کوهرت 1392'!C46,'کوهرت 1393'!C46,'کوهرت 1394'!C46,'کوهرت 1397'!C46,'کوهرت 1398'!C46,'کوهرت 1399'!C46,'کوهرت 1400'!C46,'کوهرت 1401'!C46)</ns0:f>
        <ns0:v>-0.09234664316094464</ns0:v>
      </ns0:c>
      <ns0:c r="D256" s="78">
        <ns0:f>MAX('کوهرت 1392'!D46,'کوهرت 1393'!D46,'کوهرت 1394'!D46,'کوهرت 1397'!D46,'کوهرت 1398'!D46,'کوهرت 1399'!D46,'کوهرت 1400'!D46,'کوهرت 1401'!D46)</ns0:f>
        <ns0:v>-0.197213125337381</ns0:v>
      </ns0:c>
      <ns0:c r="E256" s="78">
        <ns0:f>MAX('کوهرت 1392'!E46,'کوهرت 1393'!E46,'کوهرت 1394'!E46,'کوهرت 1397'!E46,'کوهرت 1398'!E46,'کوهرت 1399'!E46,'کوهرت 1400'!E46,'کوهرت 1401'!E46)</ns0:f>
        <ns0:v>0.09135237250334016</ns0:v>
      </ns0:c>
      <ns0:c r="F256" s="77">
        <ns0:f>MAX('کوهرت 1392'!F46,'کوهرت 1393'!F46,'کوهرت 1394'!F46,'کوهرت 1397'!F46,'کوهرت 1398'!F46,'کوهرت 1399'!F46,'کوهرت 1400'!F46,'کوهرت 1401'!F46)</ns0:f>
        <ns0:v>-0.3954230016850928</ns0:v>
      </ns0:c>
      <ns0:c r="G256" s="78">
        <ns0:f>MAX('کوهرت 1392'!G46,'کوهرت 1393'!G46,'کوهرت 1394'!G46,'کوهرت 1397'!G46,'کوهرت 1398'!G46,'کوهرت 1399'!G46,'کوهرت 1400'!G46,'کوهرت 1401'!G46)</ns0:f>
        <ns0:v>-0.051500469058794934</ns0:v>
      </ns0:c>
      <ns0:c r="H256" s="78">
        <ns0:f>MAX('کوهرت 1392'!H46,'کوهرت 1393'!H46,'کوهرت 1394'!H46,'کوهرت 1397'!H46,'کوهرت 1398'!H46,'کوهرت 1399'!H46,'کوهرت 1400'!H46,'کوهرت 1401'!H46)</ns0:f>
        <ns0:v>-0.1090716915029845</ns0:v>
      </ns0:c>
      <ns0:c r="I256" s="78">
        <ns0:f>MAX('کوهرت 1392'!I46,'کوهرت 1393'!I46,'کوهرت 1394'!I46,'کوهرت 1397'!I46,'کوهرت 1398'!I46,'کوهرت 1399'!I46,'کوهرت 1400'!I46,'کوهرت 1401'!I46)</ns0:f>
        <ns0:v>-0.11660361666903196</ns0:v>
      </ns0:c>
      <ns0:c r="J256" s="78">
        <ns0:f>MAX('کوهرت 1392'!J46,'کوهرت 1393'!J46,'کوهرت 1394'!J46,'کوهرت 1397'!J46,'کوهرت 1398'!J46,'کوهرت 1399'!J46,'کوهرت 1400'!J46,'کوهرت 1401'!J46)</ns0:f>
        <ns0:v>0.038244044244727396</ns0:v>
      </ns0:c>
      <ns0:c r="K256" s="78">
        <ns0:f>MAX('کوهرت 1392'!K46,'کوهرت 1393'!K46,'کوهرت 1394'!K46,'کوهرت 1397'!K46,'کوهرت 1398'!K46,'کوهرت 1399'!K46,'کوهرت 1400'!K46,'کوهرت 1401'!K46)</ns0:f>
        <ns0:v>-0.013416540924912092</ns0:v>
      </ns0:c>
      <ns0:c r="L256" s="78">
        <ns0:f>MAX('کوهرت 1392'!L46,'کوهرت 1393'!L46,'کوهرت 1394'!L46,'کوهرت 1397'!L46,'کوهرت 1398'!L46,'کوهرت 1399'!L46,'کوهرت 1400'!L46,'کوهرت 1401'!L46)</ns0:f>
        <ns0:v>-0.07797000131256512</ns0:v>
      </ns0:c>
      <ns0:c r="M256" s="78">
        <ns0:f>MAX('کوهرت 1392'!M46,'کوهرت 1393'!M46,'کوهرت 1394'!M46,'کوهرت 1397'!M46,'کوهرت 1398'!M46,'کوهرت 1399'!M46,'کوهرت 1400'!M46,'کوهرت 1401'!M46)</ns0:f>
        <ns0:v>-0.013280270466720827</ns0:v>
      </ns0:c>
    </ns0:row>
    <ns0:row r="257" ht="30" customHeight="1">
      <ns0:c r="A257" s="73" t="inlineStr">
        <ns0:is>
          <ns0:t>میوه</ns0:t>
        </ns0:is>
      </ns0:c>
      <ns0:c r="B257" s="78">
        <ns0:f>MAX('کوهرت 1392'!B47,'کوهرت 1393'!B47,'کوهرت 1394'!B47,'کوهرت 1397'!B47,'کوهرت 1398'!B47,'کوهرت 1399'!B47,'کوهرت 1400'!B47,'کوهرت 1401'!B47)</ns0:f>
        <ns0:v>-0.15669844525007331</ns0:v>
      </ns0:c>
      <ns0:c r="C257" s="78">
        <ns0:f>MAX('کوهرت 1392'!C47,'کوهرت 1393'!C47,'کوهرت 1394'!C47,'کوهرت 1397'!C47,'کوهرت 1398'!C47,'کوهرت 1399'!C47,'کوهرت 1400'!C47,'کوهرت 1401'!C47)</ns0:f>
        <ns0:v>-0.00018223824703873453</ns0:v>
      </ns0:c>
      <ns0:c r="D257" s="78">
        <ns0:f>MAX('کوهرت 1392'!D47,'کوهرت 1393'!D47,'کوهرت 1394'!D47,'کوهرت 1397'!D47,'کوهرت 1398'!D47,'کوهرت 1399'!D47,'کوهرت 1400'!D47,'کوهرت 1401'!D47)</ns0:f>
        <ns0:v>0.008037158725542379</ns0:v>
      </ns0:c>
      <ns0:c r="E257" s="78">
        <ns0:f>MAX('کوهرت 1392'!E47,'کوهرت 1393'!E47,'کوهرت 1394'!E47,'کوهرت 1397'!E47,'کوهرت 1398'!E47,'کوهرت 1399'!E47,'کوهرت 1400'!E47,'کوهرت 1401'!E47)</ns0:f>
        <ns0:v>0.05389058282512867</ns0:v>
      </ns0:c>
      <ns0:c r="F257" s="78">
        <ns0:f>MAX('کوهرت 1392'!F47,'کوهرت 1393'!F47,'کوهرت 1394'!F47,'کوهرت 1397'!F47,'کوهرت 1398'!F47,'کوهرت 1399'!F47,'کوهرت 1400'!F47,'کوهرت 1401'!F47)</ns0:f>
        <ns0:v>-0.08314978475103163</ns0:v>
      </ns0:c>
      <ns0:c r="G257" s="77">
        <ns0:f>MAX('کوهرت 1392'!G47,'کوهرت 1393'!G47,'کوهرت 1394'!G47,'کوهرت 1397'!G47,'کوهرت 1398'!G47,'کوهرت 1399'!G47,'کوهرت 1400'!G47,'کوهرت 1401'!G47)</ns0:f>
        <ns0:v>-1.021906860594911</ns0:v>
      </ns0:c>
      <ns0:c r="H257" s="78">
        <ns0:f>MAX('کوهرت 1392'!H47,'کوهرت 1393'!H47,'کوهرت 1394'!H47,'کوهرت 1397'!H47,'کوهرت 1398'!H47,'کوهرت 1399'!H47,'کوهرت 1400'!H47,'کوهرت 1401'!H47)</ns0:f>
        <ns0:v>0.11764566591146794</ns0:v>
      </ns0:c>
      <ns0:c r="I257" s="78">
        <ns0:f>MAX('کوهرت 1392'!I47,'کوهرت 1393'!I47,'کوهرت 1394'!I47,'کوهرت 1397'!I47,'کوهرت 1398'!I47,'کوهرت 1399'!I47,'کوهرت 1400'!I47,'کوهرت 1401'!I47)</ns0:f>
        <ns0:v>-0.039273270390842184</ns0:v>
      </ns0:c>
      <ns0:c r="J257" s="78">
        <ns0:f>MAX('کوهرت 1392'!J47,'کوهرت 1393'!J47,'کوهرت 1394'!J47,'کوهرت 1397'!J47,'کوهرت 1398'!J47,'کوهرت 1399'!J47,'کوهرت 1400'!J47,'کوهرت 1401'!J47)</ns0:f>
        <ns0:v>-0.1920988306469353</ns0:v>
      </ns0:c>
      <ns0:c r="K257" s="78">
        <ns0:f>MAX('کوهرت 1392'!K47,'کوهرت 1393'!K47,'کوهرت 1394'!K47,'کوهرت 1397'!K47,'کوهرت 1398'!K47,'کوهرت 1399'!K47,'کوهرت 1400'!K47,'کوهرت 1401'!K47)</ns0:f>
        <ns0:v>0.061194579176039876</ns0:v>
      </ns0:c>
      <ns0:c r="L257" s="78">
        <ns0:f>MAX('کوهرت 1392'!L47,'کوهرت 1393'!L47,'کوهرت 1394'!L47,'کوهرت 1397'!L47,'کوهرت 1398'!L47,'کوهرت 1399'!L47,'کوهرت 1400'!L47,'کوهرت 1401'!L47)</ns0:f>
        <ns0:v>-0.028084731044186854</ns0:v>
      </ns0:c>
      <ns0:c r="M257" s="78">
        <ns0:f>MAX('کوهرت 1392'!M47,'کوهرت 1393'!M47,'کوهرت 1394'!M47,'کوهرت 1397'!M47,'کوهرت 1398'!M47,'کوهرت 1399'!M47,'کوهرت 1400'!M47,'کوهرت 1401'!M47)</ns0:f>
        <ns0:v>0.03205243308165247</ns0:v>
      </ns0:c>
    </ns0:row>
    <ns0:row r="258" ht="30" customHeight="1">
      <ns0:c r="A258" s="73" t="inlineStr">
        <ns0:is>
          <ns0:t>سبزیجات و سیب‌زمینی</ns0:t>
        </ns0:is>
      </ns0:c>
      <ns0:c r="B258" s="78">
        <ns0:f>MAX('کوهرت 1392'!B48,'کوهرت 1393'!B48,'کوهرت 1394'!B48,'کوهرت 1397'!B48,'کوهرت 1398'!B48,'کوهرت 1399'!B48,'کوهرت 1400'!B48,'کوهرت 1401'!B48)</ns0:f>
        <ns0:v>-0.00875603823788946</ns0:v>
      </ns0:c>
      <ns0:c r="C258" s="78">
        <ns0:f>MAX('کوهرت 1392'!C48,'کوهرت 1393'!C48,'کوهرت 1394'!C48,'کوهرت 1397'!C48,'کوهرت 1398'!C48,'کوهرت 1399'!C48,'کوهرت 1400'!C48,'کوهرت 1401'!C48)</ns0:f>
        <ns0:v>-0.1140143426834807</ns0:v>
      </ns0:c>
      <ns0:c r="D258" s="78">
        <ns0:f>MAX('کوهرت 1392'!D48,'کوهرت 1393'!D48,'کوهرت 1394'!D48,'کوهرت 1397'!D48,'کوهرت 1398'!D48,'کوهرت 1399'!D48,'کوهرت 1400'!D48,'کوهرت 1401'!D48)</ns0:f>
        <ns0:v>-0.04419209866757888</ns0:v>
      </ns0:c>
      <ns0:c r="E258" s="78">
        <ns0:f>MAX('کوهرت 1392'!E48,'کوهرت 1393'!E48,'کوهرت 1394'!E48,'کوهرت 1397'!E48,'کوهرت 1398'!E48,'کوهرت 1399'!E48,'کوهرت 1400'!E48,'کوهرت 1401'!E48)</ns0:f>
        <ns0:v>-0.11728444861462982</ns0:v>
      </ns0:c>
      <ns0:c r="F258" s="78">
        <ns0:f>MAX('کوهرت 1392'!F48,'کوهرت 1393'!F48,'کوهرت 1394'!F48,'کوهرت 1397'!F48,'کوهرت 1398'!F48,'کوهرت 1399'!F48,'کوهرت 1400'!F48,'کوهرت 1401'!F48)</ns0:f>
        <ns0:v>0.0006257164577320527</ns0:v>
      </ns0:c>
      <ns0:c r="G258" s="78">
        <ns0:f>MAX('کوهرت 1392'!G48,'کوهرت 1393'!G48,'کوهرت 1394'!G48,'کوهرت 1397'!G48,'کوهرت 1398'!G48,'کوهرت 1399'!G48,'کوهرت 1400'!G48,'کوهرت 1401'!G48)</ns0:f>
        <ns0:v>0.06105200377359434</ns0:v>
      </ns0:c>
      <ns0:c r="H258" s="77">
        <ns0:f>MAX('کوهرت 1392'!H48,'کوهرت 1393'!H48,'کوهرت 1394'!H48,'کوهرت 1397'!H48,'کوهرت 1398'!H48,'کوهرت 1399'!H48,'کوهرت 1400'!H48,'کوهرت 1401'!H48)</ns0:f>
        <ns0:v>-0.36594562035811884</ns0:v>
      </ns0:c>
      <ns0:c r="I258" s="78">
        <ns0:f>MAX('کوهرت 1392'!I48,'کوهرت 1393'!I48,'کوهرت 1394'!I48,'کوهرت 1397'!I48,'کوهرت 1398'!I48,'کوهرت 1399'!I48,'کوهرت 1400'!I48,'کوهرت 1401'!I48)</ns0:f>
        <ns0:v>0.00706650743497757</ns0:v>
      </ns0:c>
      <ns0:c r="J258" s="78">
        <ns0:f>MAX('کوهرت 1392'!J48,'کوهرت 1393'!J48,'کوهرت 1394'!J48,'کوهرت 1397'!J48,'کوهرت 1398'!J48,'کوهرت 1399'!J48,'کوهرت 1400'!J48,'کوهرت 1401'!J48)</ns0:f>
        <ns0:v>0.015709172855079178</ns0:v>
      </ns0:c>
      <ns0:c r="K258" s="78">
        <ns0:f>MAX('کوهرت 1392'!K48,'کوهرت 1393'!K48,'کوهرت 1394'!K48,'کوهرت 1397'!K48,'کوهرت 1398'!K48,'کوهرت 1399'!K48,'کوهرت 1400'!K48,'کوهرت 1401'!K48)</ns0:f>
        <ns0:v>-0.05959807334850893</ns0:v>
      </ns0:c>
      <ns0:c r="L258" s="78">
        <ns0:f>MAX('کوهرت 1392'!L48,'کوهرت 1393'!L48,'کوهرت 1394'!L48,'کوهرت 1397'!L48,'کوهرت 1398'!L48,'کوهرت 1399'!L48,'کوهرت 1400'!L48,'کوهرت 1401'!L48)</ns0:f>
        <ns0:v>0.07121167229657019</ns0:v>
      </ns0:c>
      <ns0:c r="M258" s="78">
        <ns0:f>MAX('کوهرت 1392'!M48,'کوهرت 1393'!M48,'کوهرت 1394'!M48,'کوهرت 1397'!M48,'کوهرت 1398'!M48,'کوهرت 1399'!M48,'کوهرت 1400'!M48,'کوهرت 1401'!M48)</ns0:f>
        <ns0:v>-0.016584097171555415</ns0:v>
      </ns0:c>
    </ns0:row>
    <ns0:row r="259" ht="30" customHeight="1">
      <ns0:c r="A259" s="73" t="inlineStr">
        <ns0:is>
          <ns0:t>حبوبات</ns0:t>
        </ns0:is>
      </ns0:c>
      <ns0:c r="B259" s="78">
        <ns0:f>MAX('کوهرت 1392'!B49,'کوهرت 1393'!B49,'کوهرت 1394'!B49,'کوهرت 1397'!B49,'کوهرت 1398'!B49,'کوهرت 1399'!B49,'کوهرت 1400'!B49,'کوهرت 1401'!B49)</ns0:f>
        <ns0:v>-0.07264243484950371</ns0:v>
      </ns0:c>
      <ns0:c r="C259" s="78">
        <ns0:f>MAX('کوهرت 1392'!C49,'کوهرت 1393'!C49,'کوهرت 1394'!C49,'کوهرت 1397'!C49,'کوهرت 1398'!C49,'کوهرت 1399'!C49,'کوهرت 1400'!C49,'کوهرت 1401'!C49)</ns0:f>
        <ns0:v>0.0029097634446400736</ns0:v>
      </ns0:c>
      <ns0:c r="D259" s="78">
        <ns0:f>MAX('کوهرت 1392'!D49,'کوهرت 1393'!D49,'کوهرت 1394'!D49,'کوهرت 1397'!D49,'کوهرت 1398'!D49,'کوهرت 1399'!D49,'کوهرت 1400'!D49,'کوهرت 1401'!D49)</ns0:f>
        <ns0:v>-0.0009841901727588537</ns0:v>
      </ns0:c>
      <ns0:c r="E259" s="78">
        <ns0:f>MAX('کوهرت 1392'!E49,'کوهرت 1393'!E49,'کوهرت 1394'!E49,'کوهرت 1397'!E49,'کوهرت 1398'!E49,'کوهرت 1399'!E49,'کوهرت 1400'!E49,'کوهرت 1401'!E49)</ns0:f>
        <ns0:v>0.22198327756607764</ns0:v>
      </ns0:c>
      <ns0:c r="F259" s="78">
        <ns0:f>MAX('کوهرت 1392'!F49,'کوهرت 1393'!F49,'کوهرت 1394'!F49,'کوهرت 1397'!F49,'کوهرت 1398'!F49,'کوهرت 1399'!F49,'کوهرت 1400'!F49,'کوهرت 1401'!F49)</ns0:f>
        <ns0:v>-0.10623196017690155</ns0:v>
      </ns0:c>
      <ns0:c r="G259" s="78">
        <ns0:f>MAX('کوهرت 1392'!G49,'کوهرت 1393'!G49,'کوهرت 1394'!G49,'کوهرت 1397'!G49,'کوهرت 1398'!G49,'کوهرت 1399'!G49,'کوهرت 1400'!G49,'کوهرت 1401'!G49)</ns0:f>
        <ns0:v>-0.06178813717750123</ns0:v>
      </ns0:c>
      <ns0:c r="H259" s="78">
        <ns0:f>MAX('کوهرت 1392'!H49,'کوهرت 1393'!H49,'کوهرت 1394'!H49,'کوهرت 1397'!H49,'کوهرت 1398'!H49,'کوهرت 1399'!H49,'کوهرت 1400'!H49,'کوهرت 1401'!H49)</ns0:f>
        <ns0:v>-0.13186931223097306</ns0:v>
      </ns0:c>
      <ns0:c r="I259" s="77">
        <ns0:f>MAX('کوهرت 1392'!I49,'کوهرت 1393'!I49,'کوهرت 1394'!I49,'کوهرت 1397'!I49,'کوهرت 1398'!I49,'کوهرت 1399'!I49,'کوهرت 1400'!I49,'کوهرت 1401'!I49)</ns0:f>
        <ns0:v>-0.7032483342489053</ns0:v>
      </ns0:c>
      <ns0:c r="J259" s="78">
        <ns0:f>MAX('کوهرت 1392'!J49,'کوهرت 1393'!J49,'کوهرت 1394'!J49,'کوهرت 1397'!J49,'کوهرت 1398'!J49,'کوهرت 1399'!J49,'کوهرت 1400'!J49,'کوهرت 1401'!J49)</ns0:f>
        <ns0:v>-0.10704001891646168</ns0:v>
      </ns0:c>
      <ns0:c r="K259" s="78">
        <ns0:f>MAX('کوهرت 1392'!K49,'کوهرت 1393'!K49,'کوهرت 1394'!K49,'کوهرت 1397'!K49,'کوهرت 1398'!K49,'کوهرت 1399'!K49,'کوهرت 1400'!K49,'کوهرت 1401'!K49)</ns0:f>
        <ns0:v>-0.16073305934956147</ns0:v>
      </ns0:c>
      <ns0:c r="L259" s="78">
        <ns0:f>MAX('کوهرت 1392'!L49,'کوهرت 1393'!L49,'کوهرت 1394'!L49,'کوهرت 1397'!L49,'کوهرت 1398'!L49,'کوهرت 1399'!L49,'کوهرت 1400'!L49,'کوهرت 1401'!L49)</ns0:f>
        <ns0:v>0.019564206046077663</ns0:v>
      </ns0:c>
      <ns0:c r="M259" s="78">
        <ns0:f>MAX('کوهرت 1392'!M49,'کوهرت 1393'!M49,'کوهرت 1394'!M49,'کوهرت 1397'!M49,'کوهرت 1398'!M49,'کوهرت 1399'!M49,'کوهرت 1400'!M49,'کوهرت 1401'!M49)</ns0:f>
        <ns0:v>-0.004130172389195365</ns0:v>
      </ns0:c>
    </ns0:row>
    <ns0:row r="260" ht="30" customHeight="1">
      <ns0:c r="A260" s="73" t="inlineStr">
        <ns0:is>
          <ns0:t>مغزها، خشکبار و خرما</ns0:t>
        </ns0:is>
      </ns0:c>
      <ns0:c r="B260" s="78">
        <ns0:f>MAX('کوهرت 1392'!B50,'کوهرت 1393'!B50,'کوهرت 1394'!B50,'کوهرت 1397'!B50,'کوهرت 1398'!B50,'کوهرت 1399'!B50,'کوهرت 1400'!B50,'کوهرت 1401'!B50)</ns0:f>
        <ns0:v>-0.109801851371246</ns0:v>
      </ns0:c>
      <ns0:c r="C260" s="78">
        <ns0:f>MAX('کوهرت 1392'!C50,'کوهرت 1393'!C50,'کوهرت 1394'!C50,'کوهرت 1397'!C50,'کوهرت 1398'!C50,'کوهرت 1399'!C50,'کوهرت 1400'!C50,'کوهرت 1401'!C50)</ns0:f>
        <ns0:v>0.021628053722493847</ns0:v>
      </ns0:c>
      <ns0:c r="D260" s="78">
        <ns0:f>MAX('کوهرت 1392'!D50,'کوهرت 1393'!D50,'کوهرت 1394'!D50,'کوهرت 1397'!D50,'کوهرت 1398'!D50,'کوهرت 1399'!D50,'کوهرت 1400'!D50,'کوهرت 1401'!D50)</ns0:f>
        <ns0:v>-0.24805722829010804</ns0:v>
      </ns0:c>
      <ns0:c r="E260" s="78">
        <ns0:f>MAX('کوهرت 1392'!E50,'کوهرت 1393'!E50,'کوهرت 1394'!E50,'کوهرت 1397'!E50,'کوهرت 1398'!E50,'کوهرت 1399'!E50,'کوهرت 1400'!E50,'کوهرت 1401'!E50)</ns0:f>
        <ns0:v>0.23049584390916728</ns0:v>
      </ns0:c>
      <ns0:c r="F260" s="78">
        <ns0:f>MAX('کوهرت 1392'!F50,'کوهرت 1393'!F50,'کوهرت 1394'!F50,'کوهرت 1397'!F50,'کوهرت 1398'!F50,'کوهرت 1399'!F50,'کوهرت 1400'!F50,'کوهرت 1401'!F50)</ns0:f>
        <ns0:v>0.01973054777579813</ns0:v>
      </ns0:c>
      <ns0:c r="G260" s="78">
        <ns0:f>MAX('کوهرت 1392'!G50,'کوهرت 1393'!G50,'کوهرت 1394'!G50,'کوهرت 1397'!G50,'کوهرت 1398'!G50,'کوهرت 1399'!G50,'کوهرت 1400'!G50,'کوهرت 1401'!G50)</ns0:f>
        <ns0:v>-0.18478635951751388</ns0:v>
      </ns0:c>
      <ns0:c r="H260" s="78">
        <ns0:f>MAX('کوهرت 1392'!H50,'کوهرت 1393'!H50,'کوهرت 1394'!H50,'کوهرت 1397'!H50,'کوهرت 1398'!H50,'کوهرت 1399'!H50,'کوهرت 1400'!H50,'کوهرت 1401'!H50)</ns0:f>
        <ns0:v>-0.07718441819063115</ns0:v>
      </ns0:c>
      <ns0:c r="I260" s="78">
        <ns0:f>MAX('کوهرت 1392'!I50,'کوهرت 1393'!I50,'کوهرت 1394'!I50,'کوهرت 1397'!I50,'کوهرت 1398'!I50,'کوهرت 1399'!I50,'کوهرت 1400'!I50,'کوهرت 1401'!I50)</ns0:f>
        <ns0:v>-0.10421324698682506</ns0:v>
      </ns0:c>
      <ns0:c r="J260" s="77">
        <ns0:f>MAX('کوهرت 1392'!J50,'کوهرت 1393'!J50,'کوهرت 1394'!J50,'کوهرت 1397'!J50,'کوهرت 1398'!J50,'کوهرت 1399'!J50,'کوهرت 1400'!J50,'کوهرت 1401'!J50)</ns0:f>
        <ns0:v>-0.9442595379441321</ns0:v>
      </ns0:c>
      <ns0:c r="K260" s="78">
        <ns0:f>MAX('کوهرت 1392'!K50,'کوهرت 1393'!K50,'کوهرت 1394'!K50,'کوهرت 1397'!K50,'کوهرت 1398'!K50,'کوهرت 1399'!K50,'کوهرت 1400'!K50,'کوهرت 1401'!K50)</ns0:f>
        <ns0:v>-0.07177811869584547</ns0:v>
      </ns0:c>
      <ns0:c r="L260" s="78">
        <ns0:f>MAX('کوهرت 1392'!L50,'کوهرت 1393'!L50,'کوهرت 1394'!L50,'کوهرت 1397'!L50,'کوهرت 1398'!L50,'کوهرت 1399'!L50,'کوهرت 1400'!L50,'کوهرت 1401'!L50)</ns0:f>
        <ns0:v>-0.1439886828254556</ns0:v>
      </ns0:c>
      <ns0:c r="M260" s="78">
        <ns0:f>MAX('کوهرت 1392'!M50,'کوهرت 1393'!M50,'کوهرت 1394'!M50,'کوهرت 1397'!M50,'کوهرت 1398'!M50,'کوهرت 1399'!M50,'کوهرت 1400'!M50,'کوهرت 1401'!M50)</ns0:f>
        <ns0:v>0.1105774489005443</ns0:v>
      </ns0:c>
    </ns0:row>
    <ns0:row r="261" ht="30" customHeight="1">
      <ns0:c r="A261" s="73" t="inlineStr">
        <ns0:is>
          <ns0:t>قند، شیرینی و تنقلات</ns0:t>
        </ns0:is>
      </ns0:c>
      <ns0:c r="B261" s="78">
        <ns0:f>MAX('کوهرت 1392'!B51,'کوهرت 1393'!B51,'کوهرت 1394'!B51,'کوهرت 1397'!B51,'کوهرت 1398'!B51,'کوهرت 1399'!B51,'کوهرت 1400'!B51,'کوهرت 1401'!B51)</ns0:f>
        <ns0:v>-0.10085488853361246</ns0:v>
      </ns0:c>
      <ns0:c r="C261" s="78">
        <ns0:f>MAX('کوهرت 1392'!C51,'کوهرت 1393'!C51,'کوهرت 1394'!C51,'کوهرت 1397'!C51,'کوهرت 1398'!C51,'کوهرت 1399'!C51,'کوهرت 1400'!C51,'کوهرت 1401'!C51)</ns0:f>
        <ns0:v>-0.05160565876994247</ns0:v>
      </ns0:c>
      <ns0:c r="D261" s="78">
        <ns0:f>MAX('کوهرت 1392'!D51,'کوهرت 1393'!D51,'کوهرت 1394'!D51,'کوهرت 1397'!D51,'کوهرت 1398'!D51,'کوهرت 1399'!D51,'کوهرت 1400'!D51,'کوهرت 1401'!D51)</ns0:f>
        <ns0:v>0.019251146508746084</ns0:v>
      </ns0:c>
      <ns0:c r="E261" s="78">
        <ns0:f>MAX('کوهرت 1392'!E51,'کوهرت 1393'!E51,'کوهرت 1394'!E51,'کوهرت 1397'!E51,'کوهرت 1398'!E51,'کوهرت 1399'!E51,'کوهرت 1400'!E51,'کوهرت 1401'!E51)</ns0:f>
        <ns0:v>-0.1057125853855729</ns0:v>
      </ns0:c>
      <ns0:c r="F261" s="78">
        <ns0:f>MAX('کوهرت 1392'!F51,'کوهرت 1393'!F51,'کوهرت 1394'!F51,'کوهرت 1397'!F51,'کوهرت 1398'!F51,'کوهرت 1399'!F51,'کوهرت 1400'!F51,'کوهرت 1401'!F51)</ns0:f>
        <ns0:v>-0.003098315452368004</ns0:v>
      </ns0:c>
      <ns0:c r="G261" s="78">
        <ns0:f>MAX('کوهرت 1392'!G51,'کوهرت 1393'!G51,'کوهرت 1394'!G51,'کوهرت 1397'!G51,'کوهرت 1398'!G51,'کوهرت 1399'!G51,'کوهرت 1400'!G51,'کوهرت 1401'!G51)</ns0:f>
        <ns0:v>0.0575675814126972</ns0:v>
      </ns0:c>
      <ns0:c r="H261" s="78">
        <ns0:f>MAX('کوهرت 1392'!H51,'کوهرت 1393'!H51,'کوهرت 1394'!H51,'کوهرت 1397'!H51,'کوهرت 1398'!H51,'کوهرت 1399'!H51,'کوهرت 1400'!H51,'کوهرت 1401'!H51)</ns0:f>
        <ns0:v>-0.10056044690455461</ns0:v>
      </ns0:c>
      <ns0:c r="I261" s="78">
        <ns0:f>MAX('کوهرت 1392'!I51,'کوهرت 1393'!I51,'کوهرت 1394'!I51,'کوهرت 1397'!I51,'کوهرت 1398'!I51,'کوهرت 1399'!I51,'کوهرت 1400'!I51,'کوهرت 1401'!I51)</ns0:f>
        <ns0:v>-0.035150232253442854</ns0:v>
      </ns0:c>
      <ns0:c r="J261" s="78">
        <ns0:f>MAX('کوهرت 1392'!J51,'کوهرت 1393'!J51,'کوهرت 1394'!J51,'کوهرت 1397'!J51,'کوهرت 1398'!J51,'کوهرت 1399'!J51,'کوهرت 1400'!J51,'کوهرت 1401'!J51)</ns0:f>
        <ns0:v>-0.030537392977662395</ns0:v>
      </ns0:c>
      <ns0:c r="K261" s="77">
        <ns0:f>MAX('کوهرت 1392'!K51,'کوهرت 1393'!K51,'کوهرت 1394'!K51,'کوهرت 1397'!K51,'کوهرت 1398'!K51,'کوهرت 1399'!K51,'کوهرت 1400'!K51,'کوهرت 1401'!K51)</ns0:f>
        <ns0:v>-0.4857385365894775</ns0:v>
      </ns0:c>
      <ns0:c r="L261" s="78">
        <ns0:f>MAX('کوهرت 1392'!L51,'کوهرت 1393'!L51,'کوهرت 1394'!L51,'کوهرت 1397'!L51,'کوهرت 1398'!L51,'کوهرت 1399'!L51,'کوهرت 1400'!L51,'کوهرت 1401'!L51)</ns0:f>
        <ns0:v>-0.05440508873892256</ns0:v>
      </ns0:c>
      <ns0:c r="M261" s="78">
        <ns0:f>MAX('کوهرت 1392'!M51,'کوهرت 1393'!M51,'کوهرت 1394'!M51,'کوهرت 1397'!M51,'کوهرت 1398'!M51,'کوهرت 1399'!M51,'کوهرت 1400'!M51,'کوهرت 1401'!M51)</ns0:f>
        <ns0:v>-0.0021309577350342754</ns0:v>
      </ns0:c>
    </ns0:row>
    <ns0:row r="262" ht="30" customHeight="1">
      <ns0:c r="A262" s="73" t="inlineStr">
        <ns0:is>
          <ns0:t>نوشیدنی بدون نوشابه</ns0:t>
        </ns0:is>
      </ns0:c>
      <ns0:c r="B262" s="78">
        <ns0:f>MAX('کوهرت 1392'!B52,'کوهرت 1393'!B52,'کوهرت 1394'!B52,'کوهرت 1397'!B52,'کوهرت 1398'!B52,'کوهرت 1399'!B52,'کوهرت 1400'!B52,'کوهرت 1401'!B52)</ns0:f>
        <ns0:v>-0.2473734441674848</ns0:v>
      </ns0:c>
      <ns0:c r="C262" s="78">
        <ns0:f>MAX('کوهرت 1392'!C52,'کوهرت 1393'!C52,'کوهرت 1394'!C52,'کوهرت 1397'!C52,'کوهرت 1398'!C52,'کوهرت 1399'!C52,'کوهرت 1400'!C52,'کوهرت 1401'!C52)</ns0:f>
        <ns0:v>0.17343496770845193</ns0:v>
      </ns0:c>
      <ns0:c r="D262" s="78">
        <ns0:f>MAX('کوهرت 1392'!D52,'کوهرت 1393'!D52,'کوهرت 1394'!D52,'کوهرت 1397'!D52,'کوهرت 1398'!D52,'کوهرت 1399'!D52,'کوهرت 1400'!D52,'کوهرت 1401'!D52)</ns0:f>
        <ns0:v>-0.09483417230852881</ns0:v>
      </ns0:c>
      <ns0:c r="E262" s="78">
        <ns0:f>MAX('کوهرت 1392'!E52,'کوهرت 1393'!E52,'کوهرت 1394'!E52,'کوهرت 1397'!E52,'کوهرت 1398'!E52,'کوهرت 1399'!E52,'کوهرت 1400'!E52,'کوهرت 1401'!E52)</ns0:f>
        <ns0:v>0.2675916599624574</ns0:v>
      </ns0:c>
      <ns0:c r="F262" s="78">
        <ns0:f>MAX('کوهرت 1392'!F52,'کوهرت 1393'!F52,'کوهرت 1394'!F52,'کوهرت 1397'!F52,'کوهرت 1398'!F52,'کوهرت 1399'!F52,'کوهرت 1400'!F52,'کوهرت 1401'!F52)</ns0:f>
        <ns0:v>-0.10153230750910791</ns0:v>
      </ns0:c>
      <ns0:c r="G262" s="78">
        <ns0:f>MAX('کوهرت 1392'!G52,'کوهرت 1393'!G52,'کوهرت 1394'!G52,'کوهرت 1397'!G52,'کوهرت 1398'!G52,'کوهرت 1399'!G52,'کوهرت 1400'!G52,'کوهرت 1401'!G52)</ns0:f>
        <ns0:v>-0.03005246494734803</ns0:v>
      </ns0:c>
      <ns0:c r="H262" s="78">
        <ns0:f>MAX('کوهرت 1392'!H52,'کوهرت 1393'!H52,'کوهرت 1394'!H52,'کوهرت 1397'!H52,'کوهرت 1398'!H52,'کوهرت 1399'!H52,'کوهرت 1400'!H52,'کوهرت 1401'!H52)</ns0:f>
        <ns0:v>0.14729785302558357</ns0:v>
      </ns0:c>
      <ns0:c r="I262" s="78">
        <ns0:f>MAX('کوهرت 1392'!I52,'کوهرت 1393'!I52,'کوهرت 1394'!I52,'کوهرت 1397'!I52,'کوهرت 1398'!I52,'کوهرت 1399'!I52,'کوهرت 1400'!I52,'کوهرت 1401'!I52)</ns0:f>
        <ns0:v>0.07380570720367642</ns0:v>
      </ns0:c>
      <ns0:c r="J262" s="78">
        <ns0:f>MAX('کوهرت 1392'!J52,'کوهرت 1393'!J52,'کوهرت 1394'!J52,'کوهرت 1397'!J52,'کوهرت 1398'!J52,'کوهرت 1399'!J52,'کوهرت 1400'!J52,'کوهرت 1401'!J52)</ns0:f>
        <ns0:v>-0.10494513433029617</ns0:v>
      </ns0:c>
      <ns0:c r="K262" s="78">
        <ns0:f>MAX('کوهرت 1392'!K52,'کوهرت 1393'!K52,'کوهرت 1394'!K52,'کوهرت 1397'!K52,'کوهرت 1398'!K52,'کوهرت 1399'!K52,'کوهرت 1400'!K52,'کوهرت 1401'!K52)</ns0:f>
        <ns0:v>-0.18612430082885387</ns0:v>
      </ns0:c>
      <ns0:c r="L262" s="77">
        <ns0:f>MAX('کوهرت 1392'!L52,'کوهرت 1393'!L52,'کوهرت 1394'!L52,'کوهرت 1397'!L52,'کوهرت 1398'!L52,'کوهرت 1399'!L52,'کوهرت 1400'!L52,'کوهرت 1401'!L52)</ns0:f>
        <ns0:v>-0.8251647955906556</ns0:v>
      </ns0:c>
      <ns0:c r="M262" s="78">
        <ns0:f>MAX('کوهرت 1392'!M52,'کوهرت 1393'!M52,'کوهرت 1394'!M52,'کوهرت 1397'!M52,'کوهرت 1398'!M52,'کوهرت 1399'!M52,'کوهرت 1400'!M52,'کوهرت 1401'!M52)</ns0:f>
        <ns0:v>0.08540525646492492</ns0:v>
      </ns0:c>
    </ns0:row>
    <ns0:row r="263" ht="30" customHeight="1">
      <ns0:c r="A263" s="73" t="inlineStr">
        <ns0:is>
          <ns0:t>ادویه و چاشنی</ns0:t>
        </ns0:is>
      </ns0:c>
      <ns0:c r="B263" s="78">
        <ns0:f>MAX('کوهرت 1392'!B53,'کوهرت 1393'!B53,'کوهرت 1394'!B53,'کوهرت 1397'!B53,'کوهرت 1398'!B53,'کوهرت 1399'!B53,'کوهرت 1400'!B53,'کوهرت 1401'!B53)</ns0:f>
        <ns0:v>0.25946184934954986</ns0:v>
      </ns0:c>
      <ns0:c r="C263" s="78">
        <ns0:f>MAX('کوهرت 1392'!C53,'کوهرت 1393'!C53,'کوهرت 1394'!C53,'کوهرت 1397'!C53,'کوهرت 1398'!C53,'کوهرت 1399'!C53,'کوهرت 1400'!C53,'کوهرت 1401'!C53)</ns0:f>
        <ns0:v>-0.10196505904461882</ns0:v>
      </ns0:c>
      <ns0:c r="D263" s="78">
        <ns0:f>MAX('کوهرت 1392'!D53,'کوهرت 1393'!D53,'کوهرت 1394'!D53,'کوهرت 1397'!D53,'کوهرت 1398'!D53,'کوهرت 1399'!D53,'کوهرت 1400'!D53,'کوهرت 1401'!D53)</ns0:f>
        <ns0:v>-0.13522172134583116</ns0:v>
      </ns0:c>
      <ns0:c r="E263" s="78">
        <ns0:f>MAX('کوهرت 1392'!E53,'کوهرت 1393'!E53,'کوهرت 1394'!E53,'کوهرت 1397'!E53,'کوهرت 1398'!E53,'کوهرت 1399'!E53,'کوهرت 1400'!E53,'کوهرت 1401'!E53)</ns0:f>
        <ns0:v>-0.2904289623043499</ns0:v>
      </ns0:c>
      <ns0:c r="F263" s="78">
        <ns0:f>MAX('کوهرت 1392'!F53,'کوهرت 1393'!F53,'کوهرت 1394'!F53,'کوهرت 1397'!F53,'کوهرت 1398'!F53,'کوهرت 1399'!F53,'کوهرت 1400'!F53,'کوهرت 1401'!F53)</ns0:f>
        <ns0:v>-0.044572376404540454</ns0:v>
      </ns0:c>
      <ns0:c r="G263" s="78">
        <ns0:f>MAX('کوهرت 1392'!G53,'کوهرت 1393'!G53,'کوهرت 1394'!G53,'کوهرت 1397'!G53,'کوهرت 1398'!G53,'کوهرت 1399'!G53,'کوهرت 1400'!G53,'کوهرت 1401'!G53)</ns0:f>
        <ns0:v>0.07286997987247254</ns0:v>
      </ns0:c>
      <ns0:c r="H263" s="78">
        <ns0:f>MAX('کوهرت 1392'!H53,'کوهرت 1393'!H53,'کوهرت 1394'!H53,'کوهرت 1397'!H53,'کوهرت 1398'!H53,'کوهرت 1399'!H53,'کوهرت 1400'!H53,'کوهرت 1401'!H53)</ns0:f>
        <ns0:v>-0.0839480374232112</ns0:v>
      </ns0:c>
      <ns0:c r="I263" s="78">
        <ns0:f>MAX('کوهرت 1392'!I53,'کوهرت 1393'!I53,'کوهرت 1394'!I53,'کوهرت 1397'!I53,'کوهرت 1398'!I53,'کوهرت 1399'!I53,'کوهرت 1400'!I53,'کوهرت 1401'!I53)</ns0:f>
        <ns0:v>-0.0276091563499456</ns0:v>
      </ns0:c>
      <ns0:c r="J263" s="78">
        <ns0:f>MAX('کوهرت 1392'!J53,'کوهرت 1393'!J53,'کوهرت 1394'!J53,'کوهرت 1397'!J53,'کوهرت 1398'!J53,'کوهرت 1399'!J53,'کوهرت 1400'!J53,'کوهرت 1401'!J53)</ns0:f>
        <ns0:v>0.20342841814421303</ns0:v>
      </ns0:c>
      <ns0:c r="K263" s="78">
        <ns0:f>MAX('کوهرت 1392'!K53,'کوهرت 1393'!K53,'کوهرت 1394'!K53,'کوهرت 1397'!K53,'کوهرت 1398'!K53,'کوهرت 1399'!K53,'کوهرت 1400'!K53,'کوهرت 1401'!K53)</ns0:f>
        <ns0:v>-0.02975882091097507</ns0:v>
      </ns0:c>
      <ns0:c r="L263" s="78">
        <ns0:f>MAX('کوهرت 1392'!L53,'کوهرت 1393'!L53,'کوهرت 1394'!L53,'کوهرت 1397'!L53,'کوهرت 1398'!L53,'کوهرت 1399'!L53,'کوهرت 1400'!L53,'کوهرت 1401'!L53)</ns0:f>
        <ns0:v>0.03294431619220862</ns0:v>
      </ns0:c>
      <ns0:c r="M263" s="77">
        <ns0:f>MAX('کوهرت 1392'!M53,'کوهرت 1393'!M53,'کوهرت 1394'!M53,'کوهرت 1397'!M53,'کوهرت 1398'!M53,'کوهرت 1399'!M53,'کوهرت 1400'!M53,'کوهرت 1401'!M53)</ns0:f>
        <ns0:v>-0.3774256316687693</ns0:v>
      </ns0:c>
    </ns0:row>
    <ns0:row r="267" ht="28" customHeight="1">
      <ns0:c r="A267" s="76" t="inlineStr">
        <ns0:is>
          <ns0:t>کوهرت • دامنه کشش مارشالی ۱۲×۱۲ | B2</ns0:t>
        </ns0:is>
      </ns0:c>
      <ns0:c r="B267" s="1" t="n"/>
      <ns0:c r="C267" s="1" t="n"/>
      <ns0:c r="D267" s="1" t="n"/>
      <ns0:c r="E267" s="1" t="n"/>
      <ns0:c r="F267" s="1" t="n"/>
      <ns0:c r="G267" s="1" t="n"/>
      <ns0:c r="H267" s="1" t="n"/>
      <ns0:c r="I267" s="1" t="n"/>
      <ns0:c r="J267" s="1" t="n"/>
      <ns0:c r="K267" s="1" t="n"/>
      <ns0:c r="L267" s="1" t="n"/>
      <ns0:c r="M267" s="1" t="n"/>
    </ns0:row>
    <ns0:row r="268" ht="58" customHeight="1">
      <ns0:c r="A268" s="72" t="inlineStr">
        <ns0:is>
          <ns0:t>گروه تقاضا ↓ / گروه قیمت →</ns0:t>
        </ns0:is>
      </ns0:c>
      <ns0:c r="B268" s="72" t="inlineStr">
        <ns0:is>
          <ns0:t>برنج</ns0:t>
        </ns0:is>
      </ns0:c>
      <ns0:c r="C268" s="72" t="inlineStr">
        <ns0:is>
          <ns0:t>نان و غلات</ns0:t>
        </ns0:is>
      </ns0:c>
      <ns0:c r="D268" s="72" t="inlineStr">
        <ns0:is>
          <ns0:t>گوشت</ns0:t>
        </ns0:is>
      </ns0:c>
      <ns0:c r="E268" s="72" t="inlineStr">
        <ns0:is>
          <ns0:t>لبنیات و تخم‌مرغ</ns0:t>
        </ns0:is>
      </ns0:c>
      <ns0:c r="F268" s="72" t="inlineStr">
        <ns0:is>
          <ns0:t>روغن و چربی</ns0:t>
        </ns0:is>
      </ns0:c>
      <ns0:c r="G268" s="72" t="inlineStr">
        <ns0:is>
          <ns0:t>میوه</ns0:t>
        </ns0:is>
      </ns0:c>
      <ns0:c r="H268" s="72" t="inlineStr">
        <ns0:is>
          <ns0:t>سبزیجات و سیب‌زمینی</ns0:t>
        </ns0:is>
      </ns0:c>
      <ns0:c r="I268" s="72" t="inlineStr">
        <ns0:is>
          <ns0:t>حبوبات</ns0:t>
        </ns0:is>
      </ns0:c>
      <ns0:c r="J268" s="72" t="inlineStr">
        <ns0:is>
          <ns0:t>مغزها، خشکبار و خرما</ns0:t>
        </ns0:is>
      </ns0:c>
      <ns0:c r="K268" s="72" t="inlineStr">
        <ns0:is>
          <ns0:t>قند، شیرینی و تنقلات</ns0:t>
        </ns0:is>
      </ns0:c>
      <ns0:c r="L268" s="72" t="inlineStr">
        <ns0:is>
          <ns0:t>نوشیدنی بدون نوشابه</ns0:t>
        </ns0:is>
      </ns0:c>
      <ns0:c r="M268" s="72" t="inlineStr">
        <ns0:is>
          <ns0:t>ادویه و چاشنی</ns0:t>
        </ns0:is>
      </ns0:c>
    </ns0:row>
    <ns0:row r="269" ht="30" customHeight="1">
      <ns0:c r="A269" s="73" t="inlineStr">
        <ns0:is>
          <ns0:t>برنج</ns0:t>
        </ns0:is>
      </ns0:c>
      <ns0:c r="B269" s="77">
        <ns0:f>MAX('کوهرت 1392'!B42,'کوهرت 1393'!B42,'کوهرت 1394'!B42,'کوهرت 1397'!B42,'کوهرت 1398'!B42,'کوهرت 1399'!B42,'کوهرت 1400'!B42,'کوهرت 1401'!B42)-MIN('کوهرت 1392'!B42,'کوهرت 1393'!B42,'کوهرت 1394'!B42,'کوهرت 1397'!B42,'کوهرت 1398'!B42,'کوهرت 1399'!B42,'کوهرت 1400'!B42,'کوهرت 1401'!B42)</ns0:f>
        <ns0:v>0.0062703750958386095</ns0:v>
      </ns0:c>
      <ns0:c r="C269" s="78">
        <ns0:f>MAX('کوهرت 1392'!C42,'کوهرت 1393'!C42,'کوهرت 1394'!C42,'کوهرت 1397'!C42,'کوهرت 1398'!C42,'کوهرت 1399'!C42,'کوهرت 1400'!C42,'کوهرت 1401'!C42)-MIN('کوهرت 1392'!C42,'کوهرت 1393'!C42,'کوهرت 1394'!C42,'کوهرت 1397'!C42,'کوهرت 1398'!C42,'کوهرت 1399'!C42,'کوهرت 1400'!C42,'کوهرت 1401'!C42)</ns0:f>
        <ns0:v>0.04425676839259231</ns0:v>
      </ns0:c>
      <ns0:c r="D269" s="78">
        <ns0:f>MAX('کوهرت 1392'!D42,'کوهرت 1393'!D42,'کوهرت 1394'!D42,'کوهرت 1397'!D42,'کوهرت 1398'!D42,'کوهرت 1399'!D42,'کوهرت 1400'!D42,'کوهرت 1401'!D42)-MIN('کوهرت 1392'!D42,'کوهرت 1393'!D42,'کوهرت 1394'!D42,'کوهرت 1397'!D42,'کوهرت 1398'!D42,'کوهرت 1399'!D42,'کوهرت 1400'!D42,'کوهرت 1401'!D42)</ns0:f>
        <ns0:v>0.02645566421387617</ns0:v>
      </ns0:c>
      <ns0:c r="E269" s="78">
        <ns0:f>MAX('کوهرت 1392'!E42,'کوهرت 1393'!E42,'کوهرت 1394'!E42,'کوهرت 1397'!E42,'کوهرت 1398'!E42,'کوهرت 1399'!E42,'کوهرت 1400'!E42,'کوهرت 1401'!E42)-MIN('کوهرت 1392'!E42,'کوهرت 1393'!E42,'کوهرت 1394'!E42,'کوهرت 1397'!E42,'کوهرت 1398'!E42,'کوهرت 1399'!E42,'کوهرت 1400'!E42,'کوهرت 1401'!E42)</ns0:f>
        <ns0:v>0.007924772832304574</ns0:v>
      </ns0:c>
      <ns0:c r="F269" s="78">
        <ns0:f>MAX('کوهرت 1392'!F42,'کوهرت 1393'!F42,'کوهرت 1394'!F42,'کوهرت 1397'!F42,'کوهرت 1398'!F42,'کوهرت 1399'!F42,'کوهرت 1400'!F42,'کوهرت 1401'!F42)-MIN('کوهرت 1392'!F42,'کوهرت 1393'!F42,'کوهرت 1394'!F42,'کوهرت 1397'!F42,'کوهرت 1398'!F42,'کوهرت 1399'!F42,'کوهرت 1400'!F42,'کوهرت 1401'!F42)</ns0:f>
        <ns0:v>0.011992673279483217</ns0:v>
      </ns0:c>
      <ns0:c r="G269" s="78">
        <ns0:f>MAX('کوهرت 1392'!G42,'کوهرت 1393'!G42,'کوهرت 1394'!G42,'کوهرت 1397'!G42,'کوهرت 1398'!G42,'کوهرت 1399'!G42,'کوهرت 1400'!G42,'کوهرت 1401'!G42)-MIN('کوهرت 1392'!G42,'کوهرت 1393'!G42,'کوهرت 1394'!G42,'کوهرت 1397'!G42,'کوهرت 1398'!G42,'کوهرت 1399'!G42,'کوهرت 1400'!G42,'کوهرت 1401'!G42)</ns0:f>
        <ns0:v>0.007930579660818171</ns0:v>
      </ns0:c>
      <ns0:c r="H269" s="78">
        <ns0:f>MAX('کوهرت 1392'!H42,'کوهرت 1393'!H42,'کوهرت 1394'!H42,'کوهرت 1397'!H42,'کوهرت 1398'!H42,'کوهرت 1399'!H42,'کوهرت 1400'!H42,'کوهرت 1401'!H42)-MIN('کوهرت 1392'!H42,'کوهرت 1393'!H42,'کوهرت 1394'!H42,'کوهرت 1397'!H42,'کوهرت 1398'!H42,'کوهرت 1399'!H42,'کوهرت 1400'!H42,'کوهرت 1401'!H42)</ns0:f>
        <ns0:v>0.013241067825397482</ns0:v>
      </ns0:c>
      <ns0:c r="I269" s="78">
        <ns0:f>MAX('کوهرت 1392'!I42,'کوهرت 1393'!I42,'کوهرت 1394'!I42,'کوهرت 1397'!I42,'کوهرت 1398'!I42,'کوهرت 1399'!I42,'کوهرت 1400'!I42,'کوهرت 1401'!I42)-MIN('کوهرت 1392'!I42,'کوهرت 1393'!I42,'کوهرت 1394'!I42,'کوهرت 1397'!I42,'کوهرت 1398'!I42,'کوهرت 1399'!I42,'کوهرت 1400'!I42,'کوهرت 1401'!I42)</ns0:f>
        <ns0:v>0.008357289420556222</ns0:v>
      </ns0:c>
      <ns0:c r="J269" s="78">
        <ns0:f>MAX('کوهرت 1392'!J42,'کوهرت 1393'!J42,'کوهرت 1394'!J42,'کوهرت 1397'!J42,'کوهرت 1398'!J42,'کوهرت 1399'!J42,'کوهرت 1400'!J42,'کوهرت 1401'!J42)-MIN('کوهرت 1392'!J42,'کوهرت 1393'!J42,'کوهرت 1394'!J42,'کوهرت 1397'!J42,'کوهرت 1398'!J42,'کوهرت 1399'!J42,'کوهرت 1400'!J42,'کوهرت 1401'!J42)</ns0:f>
        <ns0:v>0.012938578298376831</ns0:v>
      </ns0:c>
      <ns0:c r="K269" s="78">
        <ns0:f>MAX('کوهرت 1392'!K42,'کوهرت 1393'!K42,'کوهرت 1394'!K42,'کوهرت 1397'!K42,'کوهرت 1398'!K42,'کوهرت 1399'!K42,'کوهرت 1400'!K42,'کوهرت 1401'!K42)-MIN('کوهرت 1392'!K42,'کوهرت 1393'!K42,'کوهرت 1394'!K42,'کوهرت 1397'!K42,'کوهرت 1398'!K42,'کوهرت 1399'!K42,'کوهرت 1400'!K42,'کوهرت 1401'!K42)</ns0:f>
        <ns0:v>0.01179615177167917</ns0:v>
      </ns0:c>
      <ns0:c r="L269" s="78">
        <ns0:f>MAX('کوهرت 1392'!L42,'کوهرت 1393'!L42,'کوهرت 1394'!L42,'کوهرت 1397'!L42,'کوهرت 1398'!L42,'کوهرت 1399'!L42,'کوهرت 1400'!L42,'کوهرت 1401'!L42)-MIN('کوهرت 1392'!L42,'کوهرت 1393'!L42,'کوهرت 1394'!L42,'کوهرت 1397'!L42,'کوهرت 1398'!L42,'کوهرت 1399'!L42,'کوهرت 1400'!L42,'کوهرت 1401'!L42)</ns0:f>
        <ns0:v>0.010534705514713305</ns0:v>
      </ns0:c>
      <ns0:c r="M269" s="78">
        <ns0:f>MAX('کوهرت 1392'!M42,'کوهرت 1393'!M42,'کوهرت 1394'!M42,'کوهرت 1397'!M42,'کوهرت 1398'!M42,'کوهرت 1399'!M42,'کوهرت 1400'!M42,'کوهرت 1401'!M42)-MIN('کوهرت 1392'!M42,'کوهرت 1393'!M42,'کوهرت 1394'!M42,'کوهرت 1397'!M42,'کوهرت 1398'!M42,'کوهرت 1399'!M42,'کوهرت 1400'!M42,'کوهرت 1401'!M42)</ns0:f>
        <ns0:v>0.009246811763159064</ns0:v>
      </ns0:c>
    </ns0:row>
    <ns0:row r="270" ht="30" customHeight="1">
      <ns0:c r="A270" s="73" t="inlineStr">
        <ns0:is>
          <ns0:t>نان و غلات</ns0:t>
        </ns0:is>
      </ns0:c>
      <ns0:c r="B270" s="78">
        <ns0:f>MAX('کوهرت 1392'!B43,'کوهرت 1393'!B43,'کوهرت 1394'!B43,'کوهرت 1397'!B43,'کوهرت 1398'!B43,'کوهرت 1399'!B43,'کوهرت 1400'!B43,'کوهرت 1401'!B43)-MIN('کوهرت 1392'!B43,'کوهرت 1393'!B43,'کوهرت 1394'!B43,'کوهرت 1397'!B43,'کوهرت 1398'!B43,'کوهرت 1399'!B43,'کوهرت 1400'!B43,'کوهرت 1401'!B43)</ns0:f>
        <ns0:v>0.08389948189571889</ns0:v>
      </ns0:c>
      <ns0:c r="C270" s="77">
        <ns0:f>MAX('کوهرت 1392'!C43,'کوهرت 1393'!C43,'کوهرت 1394'!C43,'کوهرت 1397'!C43,'کوهرت 1398'!C43,'کوهرت 1399'!C43,'کوهرت 1400'!C43,'کوهرت 1401'!C43)-MIN('کوهرت 1392'!C43,'کوهرت 1393'!C43,'کوهرت 1394'!C43,'کوهرت 1397'!C43,'کوهرت 1398'!C43,'کوهرت 1399'!C43,'کوهرت 1400'!C43,'کوهرت 1401'!C43)</ns0:f>
        <ns0:v>0.2495237269039663</ns0:v>
      </ns0:c>
      <ns0:c r="D270" s="78">
        <ns0:f>MAX('کوهرت 1392'!D43,'کوهرت 1393'!D43,'کوهرت 1394'!D43,'کوهرت 1397'!D43,'کوهرت 1398'!D43,'کوهرت 1399'!D43,'کوهرت 1400'!D43,'کوهرت 1401'!D43)-MIN('کوهرت 1392'!D43,'کوهرت 1393'!D43,'کوهرت 1394'!D43,'کوهرت 1397'!D43,'کوهرت 1398'!D43,'کوهرت 1399'!D43,'کوهرت 1400'!D43,'کوهرت 1401'!D43)</ns0:f>
        <ns0:v>0.25759639343363194</ns0:v>
      </ns0:c>
      <ns0:c r="E270" s="78">
        <ns0:f>MAX('کوهرت 1392'!E43,'کوهرت 1393'!E43,'کوهرت 1394'!E43,'کوهرت 1397'!E43,'کوهرت 1398'!E43,'کوهرت 1399'!E43,'کوهرت 1400'!E43,'کوهرت 1401'!E43)-MIN('کوهرت 1392'!E43,'کوهرت 1393'!E43,'کوهرت 1394'!E43,'کوهرت 1397'!E43,'کوهرت 1398'!E43,'کوهرت 1399'!E43,'کوهرت 1400'!E43,'کوهرت 1401'!E43)</ns0:f>
        <ns0:v>0.048411981314296804</ns0:v>
      </ns0:c>
      <ns0:c r="F270" s="78">
        <ns0:f>MAX('کوهرت 1392'!F43,'کوهرت 1393'!F43,'کوهرت 1394'!F43,'کوهرت 1397'!F43,'کوهرت 1398'!F43,'کوهرت 1399'!F43,'کوهرت 1400'!F43,'کوهرت 1401'!F43)-MIN('کوهرت 1392'!F43,'کوهرت 1393'!F43,'کوهرت 1394'!F43,'کوهرت 1397'!F43,'کوهرت 1398'!F43,'کوهرت 1399'!F43,'کوهرت 1400'!F43,'کوهرت 1401'!F43)</ns0:f>
        <ns0:v>0.03185812225992089</ns0:v>
      </ns0:c>
      <ns0:c r="G270" s="78">
        <ns0:f>MAX('کوهرت 1392'!G43,'کوهرت 1393'!G43,'کوهرت 1394'!G43,'کوهرت 1397'!G43,'کوهرت 1398'!G43,'کوهرت 1399'!G43,'کوهرت 1400'!G43,'کوهرت 1401'!G43)-MIN('کوهرت 1392'!G43,'کوهرت 1393'!G43,'کوهرت 1394'!G43,'کوهرت 1397'!G43,'کوهرت 1398'!G43,'کوهرت 1399'!G43,'کوهرت 1400'!G43,'کوهرت 1401'!G43)</ns0:f>
        <ns0:v>0.035299678693622286</ns0:v>
      </ns0:c>
      <ns0:c r="H270" s="78">
        <ns0:f>MAX('کوهرت 1392'!H43,'کوهرت 1393'!H43,'کوهرت 1394'!H43,'کوهرت 1397'!H43,'کوهرت 1398'!H43,'کوهرت 1399'!H43,'کوهرت 1400'!H43,'کوهرت 1401'!H43)-MIN('کوهرت 1392'!H43,'کوهرت 1393'!H43,'کوهرت 1394'!H43,'کوهرت 1397'!H43,'کوهرت 1398'!H43,'کوهرت 1399'!H43,'کوهرت 1400'!H43,'کوهرت 1401'!H43)</ns0:f>
        <ns0:v>0.019569331645838323</ns0:v>
      </ns0:c>
      <ns0:c r="I270" s="78">
        <ns0:f>MAX('کوهرت 1392'!I43,'کوهرت 1393'!I43,'کوهرت 1394'!I43,'کوهرت 1397'!I43,'کوهرت 1398'!I43,'کوهرت 1399'!I43,'کوهرت 1400'!I43,'کوهرت 1401'!I43)-MIN('کوهرت 1392'!I43,'کوهرت 1393'!I43,'کوهرت 1394'!I43,'کوهرت 1397'!I43,'کوهرت 1398'!I43,'کوهرت 1399'!I43,'کوهرت 1400'!I43,'کوهرت 1401'!I43)</ns0:f>
        <ns0:v>0.04487465448727349</ns0:v>
      </ns0:c>
      <ns0:c r="J270" s="78">
        <ns0:f>MAX('کوهرت 1392'!J43,'کوهرت 1393'!J43,'کوهرت 1394'!J43,'کوهرت 1397'!J43,'کوهرت 1398'!J43,'کوهرت 1399'!J43,'کوهرت 1400'!J43,'کوهرت 1401'!J43)-MIN('کوهرت 1392'!J43,'کوهرت 1393'!J43,'کوهرت 1394'!J43,'کوهرت 1397'!J43,'کوهرت 1398'!J43,'کوهرت 1399'!J43,'کوهرت 1400'!J43,'کوهرت 1401'!J43)</ns0:f>
        <ns0:v>0.01529174246444534</ns0:v>
      </ns0:c>
      <ns0:c r="K270" s="78">
        <ns0:f>MAX('کوهرت 1392'!K43,'کوهرت 1393'!K43,'کوهرت 1394'!K43,'کوهرت 1397'!K43,'کوهرت 1398'!K43,'کوهرت 1399'!K43,'کوهرت 1400'!K43,'کوهرت 1401'!K43)-MIN('کوهرت 1392'!K43,'کوهرت 1393'!K43,'کوهرت 1394'!K43,'کوهرت 1397'!K43,'کوهرت 1398'!K43,'کوهرت 1399'!K43,'کوهرت 1400'!K43,'کوهرت 1401'!K43)</ns0:f>
        <ns0:v>0.009862232043246617</ns0:v>
      </ns0:c>
      <ns0:c r="L270" s="78">
        <ns0:f>MAX('کوهرت 1392'!L43,'کوهرت 1393'!L43,'کوهرت 1394'!L43,'کوهرت 1397'!L43,'کوهرت 1398'!L43,'کوهرت 1399'!L43,'کوهرت 1400'!L43,'کوهرت 1401'!L43)-MIN('کوهرت 1392'!L43,'کوهرت 1393'!L43,'کوهرت 1394'!L43,'کوهرت 1397'!L43,'کوهرت 1398'!L43,'کوهرت 1399'!L43,'کوهرت 1400'!L43,'کوهرت 1401'!L43)</ns0:f>
        <ns0:v>0.08530137807987202</ns0:v>
      </ns0:c>
      <ns0:c r="M270" s="78">
        <ns0:f>MAX('کوهرت 1392'!M43,'کوهرت 1393'!M43,'کوهرت 1394'!M43,'کوهرت 1397'!M43,'کوهرت 1398'!M43,'کوهرت 1399'!M43,'کوهرت 1400'!M43,'کوهرت 1401'!M43)-MIN('کوهرت 1392'!M43,'کوهرت 1393'!M43,'کوهرت 1394'!M43,'کوهرت 1397'!M43,'کوهرت 1398'!M43,'کوهرت 1399'!M43,'کوهرت 1400'!M43,'کوهرت 1401'!M43)</ns0:f>
        <ns0:v>0.021878192633928817</ns0:v>
      </ns0:c>
    </ns0:row>
    <ns0:row r="271" ht="30" customHeight="1">
      <ns0:c r="A271" s="73" t="inlineStr">
        <ns0:is>
          <ns0:t>گوشت</ns0:t>
        </ns0:is>
      </ns0:c>
      <ns0:c r="B271" s="78">
        <ns0:f>MAX('کوهرت 1392'!B44,'کوهرت 1393'!B44,'کوهرت 1394'!B44,'کوهرت 1397'!B44,'کوهرت 1398'!B44,'کوهرت 1399'!B44,'کوهرت 1400'!B44,'کوهرت 1401'!B44)-MIN('کوهرت 1392'!B44,'کوهرت 1393'!B44,'کوهرت 1394'!B44,'کوهرت 1397'!B44,'کوهرت 1398'!B44,'کوهرت 1399'!B44,'کوهرت 1400'!B44,'کوهرت 1401'!B44)</ns0:f>
        <ns0:v>0.0033229269333194997</ns0:v>
      </ns0:c>
      <ns0:c r="C271" s="78">
        <ns0:f>MAX('کوهرت 1392'!C44,'کوهرت 1393'!C44,'کوهرت 1394'!C44,'کوهرت 1397'!C44,'کوهرت 1398'!C44,'کوهرت 1399'!C44,'کوهرت 1400'!C44,'کوهرت 1401'!C44)-MIN('کوهرت 1392'!C44,'کوهرت 1393'!C44,'کوهرت 1394'!C44,'کوهرت 1397'!C44,'کوهرت 1398'!C44,'کوهرت 1399'!C44,'کوهرت 1400'!C44,'کوهرت 1401'!C44)</ns0:f>
        <ns0:v>0.00730801117965897</ns0:v>
      </ns0:c>
      <ns0:c r="D271" s="77">
        <ns0:f>MAX('کوهرت 1392'!D44,'کوهرت 1393'!D44,'کوهرت 1394'!D44,'کوهرت 1397'!D44,'کوهرت 1398'!D44,'کوهرت 1399'!D44,'کوهرت 1400'!D44,'کوهرت 1401'!D44)-MIN('کوهرت 1392'!D44,'کوهرت 1393'!D44,'کوهرت 1394'!D44,'کوهرت 1397'!D44,'کوهرت 1398'!D44,'کوهرت 1399'!D44,'کوهرت 1400'!D44,'کوهرت 1401'!D44)</ns0:f>
        <ns0:v>0.03089313338921207</ns0:v>
      </ns0:c>
      <ns0:c r="E271" s="78">
        <ns0:f>MAX('کوهرت 1392'!E44,'کوهرت 1393'!E44,'کوهرت 1394'!E44,'کوهرت 1397'!E44,'کوهرت 1398'!E44,'کوهرت 1399'!E44,'کوهرت 1400'!E44,'کوهرت 1401'!E44)-MIN('کوهرت 1392'!E44,'کوهرت 1393'!E44,'کوهرت 1394'!E44,'کوهرت 1397'!E44,'کوهرت 1398'!E44,'کوهرت 1399'!E44,'کوهرت 1400'!E44,'کوهرت 1401'!E44)</ns0:f>
        <ns0:v>0.006978250912040757</ns0:v>
      </ns0:c>
      <ns0:c r="F271" s="78">
        <ns0:f>MAX('کوهرت 1392'!F44,'کوهرت 1393'!F44,'کوهرت 1394'!F44,'کوهرت 1397'!F44,'کوهرت 1398'!F44,'کوهرت 1399'!F44,'کوهرت 1400'!F44,'کوهرت 1401'!F44)-MIN('کوهرت 1392'!F44,'کوهرت 1393'!F44,'کوهرت 1394'!F44,'کوهرت 1397'!F44,'کوهرت 1398'!F44,'کوهرت 1399'!F44,'کوهرت 1400'!F44,'کوهرت 1401'!F44)</ns0:f>
        <ns0:v>0.0061056350476047655</ns0:v>
      </ns0:c>
      <ns0:c r="G271" s="78">
        <ns0:f>MAX('کوهرت 1392'!G44,'کوهرت 1393'!G44,'کوهرت 1394'!G44,'کوهرت 1397'!G44,'کوهرت 1398'!G44,'کوهرت 1399'!G44,'کوهرت 1400'!G44,'کوهرت 1401'!G44)-MIN('کوهرت 1392'!G44,'کوهرت 1393'!G44,'کوهرت 1394'!G44,'کوهرت 1397'!G44,'کوهرت 1398'!G44,'کوهرت 1399'!G44,'کوهرت 1400'!G44,'کوهرت 1401'!G44)</ns0:f>
        <ns0:v>0.0019571307355753546</ns0:v>
      </ns0:c>
      <ns0:c r="H271" s="78">
        <ns0:f>MAX('کوهرت 1392'!H44,'کوهرت 1393'!H44,'کوهرت 1394'!H44,'کوهرت 1397'!H44,'کوهرت 1398'!H44,'کوهرت 1399'!H44,'کوهرت 1400'!H44,'کوهرت 1401'!H44)-MIN('کوهرت 1392'!H44,'کوهرت 1393'!H44,'کوهرت 1394'!H44,'کوهرت 1397'!H44,'کوهرت 1398'!H44,'کوهرت 1399'!H44,'کوهرت 1400'!H44,'کوهرت 1401'!H44)</ns0:f>
        <ns0:v>0.005889645175328237</ns0:v>
      </ns0:c>
      <ns0:c r="I271" s="78">
        <ns0:f>MAX('کوهرت 1392'!I44,'کوهرت 1393'!I44,'کوهرت 1394'!I44,'کوهرت 1397'!I44,'کوهرت 1398'!I44,'کوهرت 1399'!I44,'کوهرت 1400'!I44,'کوهرت 1401'!I44)-MIN('کوهرت 1392'!I44,'کوهرت 1393'!I44,'کوهرت 1394'!I44,'کوهرت 1397'!I44,'کوهرت 1398'!I44,'کوهرت 1399'!I44,'کوهرت 1400'!I44,'کوهرت 1401'!I44)</ns0:f>
        <ns0:v>0.002278459409586358</ns0:v>
      </ns0:c>
      <ns0:c r="J271" s="78">
        <ns0:f>MAX('کوهرت 1392'!J44,'کوهرت 1393'!J44,'کوهرت 1394'!J44,'کوهرت 1397'!J44,'کوهرت 1398'!J44,'کوهرت 1399'!J44,'کوهرت 1400'!J44,'کوهرت 1401'!J44)-MIN('کوهرت 1392'!J44,'کوهرت 1393'!J44,'کوهرت 1394'!J44,'کوهرت 1397'!J44,'کوهرت 1398'!J44,'کوهرت 1399'!J44,'کوهرت 1400'!J44,'کوهرت 1401'!J44)</ns0:f>
        <ns0:v>0.011148919182445295</ns0:v>
      </ns0:c>
      <ns0:c r="K271" s="78">
        <ns0:f>MAX('کوهرت 1392'!K44,'کوهرت 1393'!K44,'کوهرت 1394'!K44,'کوهرت 1397'!K44,'کوهرت 1398'!K44,'کوهرت 1399'!K44,'کوهرت 1400'!K44,'کوهرت 1401'!K44)-MIN('کوهرت 1392'!K44,'کوهرت 1393'!K44,'کوهرت 1394'!K44,'کوهرت 1397'!K44,'کوهرت 1398'!K44,'کوهرت 1399'!K44,'کوهرت 1400'!K44,'کوهرت 1401'!K44)</ns0:f>
        <ns0:v>0.003772139345097467</ns0:v>
      </ns0:c>
      <ns0:c r="L271" s="78">
        <ns0:f>MAX('کوهرت 1392'!L44,'کوهرت 1393'!L44,'کوهرت 1394'!L44,'کوهرت 1397'!L44,'کوهرت 1398'!L44,'کوهرت 1399'!L44,'کوهرت 1400'!L44,'کوهرت 1401'!L44)-MIN('کوهرت 1392'!L44,'کوهرت 1393'!L44,'کوهرت 1394'!L44,'کوهرت 1397'!L44,'کوهرت 1398'!L44,'کوهرت 1399'!L44,'کوهرت 1400'!L44,'کوهرت 1401'!L44)</ns0:f>
        <ns0:v>0.005173836105050726</ns0:v>
      </ns0:c>
      <ns0:c r="M271" s="78">
        <ns0:f>MAX('کوهرت 1392'!M44,'کوهرت 1393'!M44,'کوهرت 1394'!M44,'کوهرت 1397'!M44,'کوهرت 1398'!M44,'کوهرت 1399'!M44,'کوهرت 1400'!M44,'کوهرت 1401'!M44)-MIN('کوهرت 1392'!M44,'کوهرت 1393'!M44,'کوهرت 1394'!M44,'کوهرت 1397'!M44,'کوهرت 1398'!M44,'کوهرت 1399'!M44,'کوهرت 1400'!M44,'کوهرت 1401'!M44)</ns0:f>
        <ns0:v>0.007648724307277928</ns0:v>
      </ns0:c>
    </ns0:row>
    <ns0:row r="272" ht="30" customHeight="1">
      <ns0:c r="A272" s="73" t="inlineStr">
        <ns0:is>
          <ns0:t>لبنیات و تخم‌مرغ</ns0:t>
        </ns0:is>
      </ns0:c>
      <ns0:c r="B272" s="78">
        <ns0:f>MAX('کوهرت 1392'!B45,'کوهرت 1393'!B45,'کوهرت 1394'!B45,'کوهرت 1397'!B45,'کوهرت 1398'!B45,'کوهرت 1399'!B45,'کوهرت 1400'!B45,'کوهرت 1401'!B45)-MIN('کوهرت 1392'!B45,'کوهرت 1393'!B45,'کوهرت 1394'!B45,'کوهرت 1397'!B45,'کوهرت 1398'!B45,'کوهرت 1399'!B45,'کوهرت 1400'!B45,'کوهرت 1401'!B45)</ns0:f>
        <ns0:v>0.018824705851515577</ns0:v>
      </ns0:c>
      <ns0:c r="C272" s="78">
        <ns0:f>MAX('کوهرت 1392'!C45,'کوهرت 1393'!C45,'کوهرت 1394'!C45,'کوهرت 1397'!C45,'کوهرت 1398'!C45,'کوهرت 1399'!C45,'کوهرت 1400'!C45,'کوهرت 1401'!C45)-MIN('کوهرت 1392'!C45,'کوهرت 1393'!C45,'کوهرت 1394'!C45,'کوهرت 1397'!C45,'کوهرت 1398'!C45,'کوهرت 1399'!C45,'کوهرت 1400'!C45,'کوهرت 1401'!C45)</ns0:f>
        <ns0:v>0.022630533375900513</ns0:v>
      </ns0:c>
      <ns0:c r="D272" s="78">
        <ns0:f>MAX('کوهرت 1392'!D45,'کوهرت 1393'!D45,'کوهرت 1394'!D45,'کوهرت 1397'!D45,'کوهرت 1398'!D45,'کوهرت 1399'!D45,'کوهرت 1400'!D45,'کوهرت 1401'!D45)-MIN('کوهرت 1392'!D45,'کوهرت 1393'!D45,'کوهرت 1394'!D45,'کوهرت 1397'!D45,'کوهرت 1398'!D45,'کوهرت 1399'!D45,'کوهرت 1400'!D45,'کوهرت 1401'!D45)</ns0:f>
        <ns0:v>0.008236321228545854</ns0:v>
      </ns0:c>
      <ns0:c r="E272" s="77">
        <ns0:f>MAX('کوهرت 1392'!E45,'کوهرت 1393'!E45,'کوهرت 1394'!E45,'کوهرت 1397'!E45,'کوهرت 1398'!E45,'کوهرت 1399'!E45,'کوهرت 1400'!E45,'کوهرت 1401'!E45)-MIN('کوهرت 1392'!E45,'کوهرت 1393'!E45,'کوهرت 1394'!E45,'کوهرت 1397'!E45,'کوهرت 1398'!E45,'کوهرت 1399'!E45,'کوهرت 1400'!E45,'کوهرت 1401'!E45)</ns0:f>
        <ns0:v>0.029570518264359413</ns0:v>
      </ns0:c>
      <ns0:c r="F272" s="78">
        <ns0:f>MAX('کوهرت 1392'!F45,'کوهرت 1393'!F45,'کوهرت 1394'!F45,'کوهرت 1397'!F45,'کوهرت 1398'!F45,'کوهرت 1399'!F45,'کوهرت 1400'!F45,'کوهرت 1401'!F45)-MIN('کوهرت 1392'!F45,'کوهرت 1393'!F45,'کوهرت 1394'!F45,'کوهرت 1397'!F45,'کوهرت 1398'!F45,'کوهرت 1399'!F45,'کوهرت 1400'!F45,'کوهرت 1401'!F45)</ns0:f>
        <ns0:v>0.007054266449392046</ns0:v>
      </ns0:c>
      <ns0:c r="G272" s="78">
        <ns0:f>MAX('کوهرت 1392'!G45,'کوهرت 1393'!G45,'کوهرت 1394'!G45,'کوهرت 1397'!G45,'کوهرت 1398'!G45,'کوهرت 1399'!G45,'کوهرت 1400'!G45,'کوهرت 1401'!G45)-MIN('کوهرت 1392'!G45,'کوهرت 1393'!G45,'کوهرت 1394'!G45,'کوهرت 1397'!G45,'کوهرت 1398'!G45,'کوهرت 1399'!G45,'کوهرت 1400'!G45,'کوهرت 1401'!G45)</ns0:f>
        <ns0:v>0.005713853681614131</ns0:v>
      </ns0:c>
      <ns0:c r="H272" s="78">
        <ns0:f>MAX('کوهرت 1392'!H45,'کوهرت 1393'!H45,'کوهرت 1394'!H45,'کوهرت 1397'!H45,'کوهرت 1398'!H45,'کوهرت 1399'!H45,'کوهرت 1400'!H45,'کوهرت 1401'!H45)-MIN('کوهرت 1392'!H45,'کوهرت 1393'!H45,'کوهرت 1394'!H45,'کوهرت 1397'!H45,'کوهرت 1398'!H45,'کوهرت 1399'!H45,'کوهرت 1400'!H45,'کوهرت 1401'!H45)</ns0:f>
        <ns0:v>0.02878889142301333</ns0:v>
      </ns0:c>
      <ns0:c r="I272" s="78">
        <ns0:f>MAX('کوهرت 1392'!I45,'کوهرت 1393'!I45,'کوهرت 1394'!I45,'کوهرت 1397'!I45,'کوهرت 1398'!I45,'کوهرت 1399'!I45,'کوهرت 1400'!I45,'کوهرت 1401'!I45)-MIN('کوهرت 1392'!I45,'کوهرت 1393'!I45,'کوهرت 1394'!I45,'کوهرت 1397'!I45,'کوهرت 1398'!I45,'کوهرت 1399'!I45,'کوهرت 1400'!I45,'کوهرت 1401'!I45)</ns0:f>
        <ns0:v>0.00647171892002503</ns0:v>
      </ns0:c>
      <ns0:c r="J272" s="78">
        <ns0:f>MAX('کوهرت 1392'!J45,'کوهرت 1393'!J45,'کوهرت 1394'!J45,'کوهرت 1397'!J45,'کوهرت 1398'!J45,'کوهرت 1399'!J45,'کوهرت 1400'!J45,'کوهرت 1401'!J45)-MIN('کوهرت 1392'!J45,'کوهرت 1393'!J45,'کوهرت 1394'!J45,'کوهرت 1397'!J45,'کوهرت 1398'!J45,'کوهرت 1399'!J45,'کوهرت 1400'!J45,'کوهرت 1401'!J45)</ns0:f>
        <ns0:v>0.018726035689631812</ns0:v>
      </ns0:c>
      <ns0:c r="K272" s="78">
        <ns0:f>MAX('کوهرت 1392'!K45,'کوهرت 1393'!K45,'کوهرت 1394'!K45,'کوهرت 1397'!K45,'کوهرت 1398'!K45,'کوهرت 1399'!K45,'کوهرت 1400'!K45,'کوهرت 1401'!K45)-MIN('کوهرت 1392'!K45,'کوهرت 1393'!K45,'کوهرت 1394'!K45,'کوهرت 1397'!K45,'کوهرت 1398'!K45,'کوهرت 1399'!K45,'کوهرت 1400'!K45,'کوهرت 1401'!K45)</ns0:f>
        <ns0:v>0.008863211738252663</ns0:v>
      </ns0:c>
      <ns0:c r="L272" s="78">
        <ns0:f>MAX('کوهرت 1392'!L45,'کوهرت 1393'!L45,'کوهرت 1394'!L45,'کوهرت 1397'!L45,'کوهرت 1398'!L45,'کوهرت 1399'!L45,'کوهرت 1400'!L45,'کوهرت 1401'!L45)-MIN('کوهرت 1392'!L45,'کوهرت 1393'!L45,'کوهرت 1394'!L45,'کوهرت 1397'!L45,'کوهرت 1398'!L45,'کوهرت 1399'!L45,'کوهرت 1400'!L45,'کوهرت 1401'!L45)</ns0:f>
        <ns0:v>0.01658580860347339</ns0:v>
      </ns0:c>
      <ns0:c r="M272" s="78">
        <ns0:f>MAX('کوهرت 1392'!M45,'کوهرت 1393'!M45,'کوهرت 1394'!M45,'کوهرت 1397'!M45,'کوهرت 1398'!M45,'کوهرت 1399'!M45,'کوهرت 1400'!M45,'کوهرت 1401'!M45)-MIN('کوهرت 1392'!M45,'کوهرت 1393'!M45,'کوهرت 1394'!M45,'کوهرت 1397'!M45,'کوهرت 1398'!M45,'کوهرت 1399'!M45,'کوهرت 1400'!M45,'کوهرت 1401'!M45)</ns0:f>
        <ns0:v>0.018198238329109523</ns0:v>
      </ns0:c>
    </ns0:row>
    <ns0:row r="273" ht="30" customHeight="1">
      <ns0:c r="A273" s="73" t="inlineStr">
        <ns0:is>
          <ns0:t>روغن و چربی</ns0:t>
        </ns0:is>
      </ns0:c>
      <ns0:c r="B273" s="78">
        <ns0:f>MAX('کوهرت 1392'!B46,'کوهرت 1393'!B46,'کوهرت 1394'!B46,'کوهرت 1397'!B46,'کوهرت 1398'!B46,'کوهرت 1399'!B46,'کوهرت 1400'!B46,'کوهرت 1401'!B46)-MIN('کوهرت 1392'!B46,'کوهرت 1393'!B46,'کوهرت 1394'!B46,'کوهرت 1397'!B46,'کوهرت 1398'!B46,'کوهرت 1399'!B46,'کوهرت 1400'!B46,'کوهرت 1401'!B46)</ns0:f>
        <ns0:v>0.015469109110599958</ns0:v>
      </ns0:c>
      <ns0:c r="C273" s="78">
        <ns0:f>MAX('کوهرت 1392'!C46,'کوهرت 1393'!C46,'کوهرت 1394'!C46,'کوهرت 1397'!C46,'کوهرت 1398'!C46,'کوهرت 1399'!C46,'کوهرت 1400'!C46,'کوهرت 1401'!C46)-MIN('کوهرت 1392'!C46,'کوهرت 1393'!C46,'کوهرت 1394'!C46,'کوهرت 1397'!C46,'کوهرت 1398'!C46,'کوهرت 1399'!C46,'کوهرت 1400'!C46,'کوهرت 1401'!C46)</ns0:f>
        <ns0:v>0.012723202703077252</ns0:v>
      </ns0:c>
      <ns0:c r="D273" s="78">
        <ns0:f>MAX('کوهرت 1392'!D46,'کوهرت 1393'!D46,'کوهرت 1394'!D46,'کوهرت 1397'!D46,'کوهرت 1398'!D46,'کوهرت 1399'!D46,'کوهرت 1400'!D46,'کوهرت 1401'!D46)-MIN('کوهرت 1392'!D46,'کوهرت 1393'!D46,'کوهرت 1394'!D46,'کوهرت 1397'!D46,'کوهرت 1398'!D46,'کوهرت 1399'!D46,'کوهرت 1400'!D46,'کوهرت 1401'!D46)</ns0:f>
        <ns0:v>0.032811338916978516</ns0:v>
      </ns0:c>
      <ns0:c r="E273" s="78">
        <ns0:f>MAX('کوهرت 1392'!E46,'کوهرت 1393'!E46,'کوهرت 1394'!E46,'کوهرت 1397'!E46,'کوهرت 1398'!E46,'کوهرت 1399'!E46,'کوهرت 1400'!E46,'کوهرت 1401'!E46)-MIN('کوهرت 1392'!E46,'کوهرت 1393'!E46,'کوهرت 1394'!E46,'کوهرت 1397'!E46,'کوهرت 1398'!E46,'کوهرت 1399'!E46,'کوهرت 1400'!E46,'کوهرت 1401'!E46)</ns0:f>
        <ns0:v>0.031275143575901054</ns0:v>
      </ns0:c>
      <ns0:c r="F273" s="77">
        <ns0:f>MAX('کوهرت 1392'!F46,'کوهرت 1393'!F46,'کوهرت 1394'!F46,'کوهرت 1397'!F46,'کوهرت 1398'!F46,'کوهرت 1399'!F46,'کوهرت 1400'!F46,'کوهرت 1401'!F46)-MIN('کوهرت 1392'!F46,'کوهرت 1393'!F46,'کوهرت 1394'!F46,'کوهرت 1397'!F46,'کوهرت 1398'!F46,'کوهرت 1399'!F46,'کوهرت 1400'!F46,'کوهرت 1401'!F46)</ns0:f>
        <ns0:v>0.1539563326502129</ns0:v>
      </ns0:c>
      <ns0:c r="G273" s="78">
        <ns0:f>MAX('کوهرت 1392'!G46,'کوهرت 1393'!G46,'کوهرت 1394'!G46,'کوهرت 1397'!G46,'کوهرت 1398'!G46,'کوهرت 1399'!G46,'کوهرت 1400'!G46,'کوهرت 1401'!G46)-MIN('کوهرت 1392'!G46,'کوهرت 1393'!G46,'کوهرت 1394'!G46,'کوهرت 1397'!G46,'کوهرت 1398'!G46,'کوهرت 1399'!G46,'کوهرت 1400'!G46,'کوهرت 1401'!G46)</ns0:f>
        <ns0:v>0.004454286801906744</ns0:v>
      </ns0:c>
      <ns0:c r="H273" s="78">
        <ns0:f>MAX('کوهرت 1392'!H46,'کوهرت 1393'!H46,'کوهرت 1394'!H46,'کوهرت 1397'!H46,'کوهرت 1398'!H46,'کوهرت 1399'!H46,'کوهرت 1400'!H46,'کوهرت 1401'!H46)-MIN('کوهرت 1392'!H46,'کوهرت 1393'!H46,'کوهرت 1394'!H46,'کوهرت 1397'!H46,'کوهرت 1398'!H46,'کوهرت 1399'!H46,'کوهرت 1400'!H46,'کوهرت 1401'!H46)</ns0:f>
        <ns0:v>0.013852936258581763</ns0:v>
      </ns0:c>
      <ns0:c r="I273" s="78">
        <ns0:f>MAX('کوهرت 1392'!I46,'کوهرت 1393'!I46,'کوهرت 1394'!I46,'کوهرت 1397'!I46,'کوهرت 1398'!I46,'کوهرت 1399'!I46,'کوهرت 1400'!I46,'کوهرت 1401'!I46)-MIN('کوهرت 1392'!I46,'کوهرت 1393'!I46,'کوهرت 1394'!I46,'کوهرت 1397'!I46,'کوهرت 1398'!I46,'کوهرت 1399'!I46,'کوهرت 1400'!I46,'کوهرت 1401'!I46)</ns0:f>
        <ns0:v>0.008456494535330206</ns0:v>
      </ns0:c>
      <ns0:c r="J273" s="78">
        <ns0:f>MAX('کوهرت 1392'!J46,'کوهرت 1393'!J46,'کوهرت 1394'!J46,'کوهرت 1397'!J46,'کوهرت 1398'!J46,'کوهرت 1399'!J46,'کوهرت 1400'!J46,'کوهرت 1401'!J46)-MIN('کوهرت 1392'!J46,'کوهرت 1393'!J46,'کوهرت 1394'!J46,'کوهرت 1397'!J46,'کوهرت 1398'!J46,'کوهرت 1399'!J46,'کوهرت 1400'!J46,'کوهرت 1401'!J46)</ns0:f>
        <ns0:v>0.007733300101690769</ns0:v>
      </ns0:c>
      <ns0:c r="K273" s="78">
        <ns0:f>MAX('کوهرت 1392'!K46,'کوهرت 1393'!K46,'کوهرت 1394'!K46,'کوهرت 1397'!K46,'کوهرت 1398'!K46,'کوهرت 1399'!K46,'کوهرت 1400'!K46,'کوهرت 1401'!K46)-MIN('کوهرت 1392'!K46,'کوهرت 1393'!K46,'کوهرت 1394'!K46,'کوهرت 1397'!K46,'کوهرت 1398'!K46,'کوهرت 1399'!K46,'کوهرت 1400'!K46,'کوهرت 1401'!K46)</ns0:f>
        <ns0:v>0.004184190717472166</ns0:v>
      </ns0:c>
      <ns0:c r="L273" s="78">
        <ns0:f>MAX('کوهرت 1392'!L46,'کوهرت 1393'!L46,'کوهرت 1394'!L46,'کوهرت 1397'!L46,'کوهرت 1398'!L46,'کوهرت 1399'!L46,'کوهرت 1400'!L46,'کوهرت 1401'!L46)-MIN('کوهرت 1392'!L46,'کوهرت 1393'!L46,'کوهرت 1394'!L46,'کوهرت 1397'!L46,'کوهرت 1398'!L46,'کوهرت 1399'!L46,'کوهرت 1400'!L46,'کوهرت 1401'!L46)</ns0:f>
        <ns0:v>0.019473281360803604</ns0:v>
      </ns0:c>
      <ns0:c r="M273" s="78">
        <ns0:f>MAX('کوهرت 1392'!M46,'کوهرت 1393'!M46,'کوهرت 1394'!M46,'کوهرت 1397'!M46,'کوهرت 1398'!M46,'کوهرت 1399'!M46,'کوهرت 1400'!M46,'کوهرت 1401'!M46)-MIN('کوهرت 1392'!M46,'کوهرت 1393'!M46,'کوهرت 1394'!M46,'کوهرت 1397'!M46,'کوهرت 1398'!M46,'کوهرت 1399'!M46,'کوهرت 1400'!M46,'کوهرت 1401'!M46)</ns0:f>
        <ns0:v>0.013137663685626232</ns0:v>
      </ns0:c>
    </ns0:row>
    <ns0:row r="274" ht="30" customHeight="1">
      <ns0:c r="A274" s="73" t="inlineStr">
        <ns0:is>
          <ns0:t>میوه</ns0:t>
        </ns0:is>
      </ns0:c>
      <ns0:c r="B274" s="78">
        <ns0:f>MAX('کوهرت 1392'!B47,'کوهرت 1393'!B47,'کوهرت 1394'!B47,'کوهرت 1397'!B47,'کوهرت 1398'!B47,'کوهرت 1399'!B47,'کوهرت 1400'!B47,'کوهرت 1401'!B47)-MIN('کوهرت 1392'!B47,'کوهرت 1393'!B47,'کوهرت 1394'!B47,'کوهرت 1397'!B47,'کوهرت 1398'!B47,'کوهرت 1399'!B47,'کوهرت 1400'!B47,'کوهرت 1401'!B47)</ns0:f>
        <ns0:v>0.007980931139677766</ns0:v>
      </ns0:c>
      <ns0:c r="C274" s="78">
        <ns0:f>MAX('کوهرت 1392'!C47,'کوهرت 1393'!C47,'کوهرت 1394'!C47,'کوهرت 1397'!C47,'کوهرت 1398'!C47,'کوهرت 1399'!C47,'کوهرت 1400'!C47,'کوهرت 1401'!C47)-MIN('کوهرت 1392'!C47,'کوهرت 1393'!C47,'کوهرت 1394'!C47,'کوهرت 1397'!C47,'کوهرت 1398'!C47,'کوهرت 1399'!C47,'کوهرت 1400'!C47,'کوهرت 1401'!C47)</ns0:f>
        <ns0:v>0.011584694911203584</ns0:v>
      </ns0:c>
      <ns0:c r="D274" s="78">
        <ns0:f>MAX('کوهرت 1392'!D47,'کوهرت 1393'!D47,'کوهرت 1394'!D47,'کوهرت 1397'!D47,'کوهرت 1398'!D47,'کوهرت 1399'!D47,'کوهرت 1400'!D47,'کوهرت 1401'!D47)-MIN('کوهرت 1392'!D47,'کوهرت 1393'!D47,'کوهرت 1394'!D47,'کوهرت 1397'!D47,'کوهرت 1398'!D47,'کوهرت 1399'!D47,'کوهرت 1400'!D47,'کوهرت 1401'!D47)</ns0:f>
        <ns0:v>0.020408728919312964</ns0:v>
      </ns0:c>
      <ns0:c r="E274" s="78">
        <ns0:f>MAX('کوهرت 1392'!E47,'کوهرت 1393'!E47,'کوهرت 1394'!E47,'کوهرت 1397'!E47,'کوهرت 1398'!E47,'کوهرت 1399'!E47,'کوهرت 1400'!E47,'کوهرت 1401'!E47)-MIN('کوهرت 1392'!E47,'کوهرت 1393'!E47,'کوهرت 1394'!E47,'کوهرت 1397'!E47,'کوهرت 1398'!E47,'کوهرت 1399'!E47,'کوهرت 1400'!E47,'کوهرت 1401'!E47)</ns0:f>
        <ns0:v>0.011828853966905355</ns0:v>
      </ns0:c>
      <ns0:c r="F274" s="78">
        <ns0:f>MAX('کوهرت 1392'!F47,'کوهرت 1393'!F47,'کوهرت 1394'!F47,'کوهرت 1397'!F47,'کوهرت 1398'!F47,'کوهرت 1399'!F47,'کوهرت 1400'!F47,'کوهرت 1401'!F47)-MIN('کوهرت 1392'!F47,'کوهرت 1393'!F47,'کوهرت 1394'!F47,'کوهرت 1397'!F47,'کوهرت 1398'!F47,'کوهرت 1399'!F47,'کوهرت 1400'!F47,'کوهرت 1401'!F47)</ns0:f>
        <ns0:v>0.017690883255531475</ns0:v>
      </ns0:c>
      <ns0:c r="G274" s="77">
        <ns0:f>MAX('کوهرت 1392'!G47,'کوهرت 1393'!G47,'کوهرت 1394'!G47,'کوهرت 1397'!G47,'کوهرت 1398'!G47,'کوهرت 1399'!G47,'کوهرت 1400'!G47,'کوهرت 1401'!G47)-MIN('کوهرت 1392'!G47,'کوهرت 1393'!G47,'کوهرت 1394'!G47,'کوهرت 1397'!G47,'کوهرت 1398'!G47,'کوهرت 1399'!G47,'کوهرت 1400'!G47,'کوهرت 1401'!G47)</ns0:f>
        <ns0:v>0.05207149990252735</ns0:v>
      </ns0:c>
      <ns0:c r="H274" s="78">
        <ns0:f>MAX('کوهرت 1392'!H47,'کوهرت 1393'!H47,'کوهرت 1394'!H47,'کوهرت 1397'!H47,'کوهرت 1398'!H47,'کوهرت 1399'!H47,'کوهرت 1400'!H47,'کوهرت 1401'!H47)-MIN('کوهرت 1392'!H47,'کوهرت 1393'!H47,'کوهرت 1394'!H47,'کوهرت 1397'!H47,'کوهرت 1398'!H47,'کوهرت 1399'!H47,'کوهرت 1400'!H47,'کوهرت 1401'!H47)</ns0:f>
        <ns0:v>0.010370683904061082</ns0:v>
      </ns0:c>
      <ns0:c r="I274" s="78">
        <ns0:f>MAX('کوهرت 1392'!I47,'کوهرت 1393'!I47,'کوهرت 1394'!I47,'کوهرت 1397'!I47,'کوهرت 1398'!I47,'کوهرت 1399'!I47,'کوهرت 1400'!I47,'کوهرت 1401'!I47)-MIN('کوهرت 1392'!I47,'کوهرت 1393'!I47,'کوهرت 1394'!I47,'کوهرت 1397'!I47,'کوهرت 1398'!I47,'کوهرت 1399'!I47,'کوهرت 1400'!I47,'کوهرت 1401'!I47)</ns0:f>
        <ns0:v>0.013132660191286727</ns0:v>
      </ns0:c>
      <ns0:c r="J274" s="78">
        <ns0:f>MAX('کوهرت 1392'!J47,'کوهرت 1393'!J47,'کوهرت 1394'!J47,'کوهرت 1397'!J47,'کوهرت 1398'!J47,'کوهرت 1399'!J47,'کوهرت 1400'!J47,'کوهرت 1401'!J47)-MIN('کوهرت 1392'!J47,'کوهرت 1393'!J47,'کوهرت 1394'!J47,'کوهرت 1397'!J47,'کوهرت 1398'!J47,'کوهرت 1399'!J47,'کوهرت 1400'!J47,'کوهرت 1401'!J47)</ns0:f>
        <ns0:v>0.011669061704080164</ns0:v>
      </ns0:c>
      <ns0:c r="K274" s="78">
        <ns0:f>MAX('کوهرت 1392'!K47,'کوهرت 1393'!K47,'کوهرت 1394'!K47,'کوهرت 1397'!K47,'کوهرت 1398'!K47,'کوهرت 1399'!K47,'کوهرت 1400'!K47,'کوهرت 1401'!K47)-MIN('کوهرت 1392'!K47,'کوهرت 1393'!K47,'کوهرت 1394'!K47,'کوهرت 1397'!K47,'کوهرت 1398'!K47,'کوهرت 1399'!K47,'کوهرت 1400'!K47,'کوهرت 1401'!K47)</ns0:f>
        <ns0:v>0.016638173501066084</ns0:v>
      </ns0:c>
      <ns0:c r="L274" s="78">
        <ns0:f>MAX('کوهرت 1392'!L47,'کوهرت 1393'!L47,'کوهرت 1394'!L47,'کوهرت 1397'!L47,'کوهرت 1398'!L47,'کوهرت 1399'!L47,'کوهرت 1400'!L47,'کوهرت 1401'!L47)-MIN('کوهرت 1392'!L47,'کوهرت 1393'!L47,'کوهرت 1394'!L47,'کوهرت 1397'!L47,'کوهرت 1398'!L47,'کوهرت 1399'!L47,'کوهرت 1400'!L47,'کوهرت 1401'!L47)</ns0:f>
        <ns0:v>0.002945992925369345</ns0:v>
      </ns0:c>
      <ns0:c r="M274" s="78">
        <ns0:f>MAX('کوهرت 1392'!M47,'کوهرت 1393'!M47,'کوهرت 1394'!M47,'کوهرت 1397'!M47,'کوهرت 1398'!M47,'کوهرت 1399'!M47,'کوهرت 1400'!M47,'کوهرت 1401'!M47)-MIN('کوهرت 1392'!M47,'کوهرت 1393'!M47,'کوهرت 1394'!M47,'کوهرت 1397'!M47,'کوهرت 1398'!M47,'کوهرت 1399'!M47,'کوهرت 1400'!M47,'کوهرت 1401'!M47)</ns0:f>
        <ns0:v>0.009078482710498763</ns0:v>
      </ns0:c>
    </ns0:row>
    <ns0:row r="275" ht="30" customHeight="1">
      <ns0:c r="A275" s="73" t="inlineStr">
        <ns0:is>
          <ns0:t>سبزیجات و سیب‌زمینی</ns0:t>
        </ns0:is>
      </ns0:c>
      <ns0:c r="B275" s="78">
        <ns0:f>MAX('کوهرت 1392'!B48,'کوهرت 1393'!B48,'کوهرت 1394'!B48,'کوهرت 1397'!B48,'کوهرت 1398'!B48,'کوهرت 1399'!B48,'کوهرت 1400'!B48,'کوهرت 1401'!B48)-MIN('کوهرت 1392'!B48,'کوهرت 1393'!B48,'کوهرت 1394'!B48,'کوهرت 1397'!B48,'کوهرت 1398'!B48,'کوهرت 1399'!B48,'کوهرت 1400'!B48,'کوهرت 1401'!B48)</ns0:f>
        <ns0:v>0.00410694595101176</ns0:v>
      </ns0:c>
      <ns0:c r="C275" s="78">
        <ns0:f>MAX('کوهرت 1392'!C48,'کوهرت 1393'!C48,'کوهرت 1394'!C48,'کوهرت 1397'!C48,'کوهرت 1398'!C48,'کوهرت 1399'!C48,'کوهرت 1400'!C48,'کوهرت 1401'!C48)-MIN('کوهرت 1392'!C48,'کوهرت 1393'!C48,'کوهرت 1394'!C48,'کوهرت 1397'!C48,'کوهرت 1398'!C48,'کوهرت 1399'!C48,'کوهرت 1400'!C48,'کوهرت 1401'!C48)</ns0:f>
        <ns0:v>0.00980176610805962</ns0:v>
      </ns0:c>
      <ns0:c r="D275" s="78">
        <ns0:f>MAX('کوهرت 1392'!D48,'کوهرت 1393'!D48,'کوهرت 1394'!D48,'کوهرت 1397'!D48,'کوهرت 1398'!D48,'کوهرت 1399'!D48,'کوهرت 1400'!D48,'کوهرت 1401'!D48)-MIN('کوهرت 1392'!D48,'کوهرت 1393'!D48,'کوهرت 1394'!D48,'کوهرت 1397'!D48,'کوهرت 1398'!D48,'کوهرت 1399'!D48,'کوهرت 1400'!D48,'کوهرت 1401'!D48)</ns0:f>
        <ns0:v>0.026692218490662806</ns0:v>
      </ns0:c>
      <ns0:c r="E275" s="78">
        <ns0:f>MAX('کوهرت 1392'!E48,'کوهرت 1393'!E48,'کوهرت 1394'!E48,'کوهرت 1397'!E48,'کوهرت 1398'!E48,'کوهرت 1399'!E48,'کوهرت 1400'!E48,'کوهرت 1401'!E48)-MIN('کوهرت 1392'!E48,'کوهرت 1393'!E48,'کوهرت 1394'!E48,'کوهرت 1397'!E48,'کوهرت 1398'!E48,'کوهرت 1399'!E48,'کوهرت 1400'!E48,'کوهرت 1401'!E48)</ns0:f>
        <ns0:v>0.03472964080588438</ns0:v>
      </ns0:c>
      <ns0:c r="F275" s="78">
        <ns0:f>MAX('کوهرت 1392'!F48,'کوهرت 1393'!F48,'کوهرت 1394'!F48,'کوهرت 1397'!F48,'کوهرت 1398'!F48,'کوهرت 1399'!F48,'کوهرت 1400'!F48,'کوهرت 1401'!F48)-MIN('کوهرت 1392'!F48,'کوهرت 1393'!F48,'کوهرت 1394'!F48,'کوهرت 1397'!F48,'کوهرت 1398'!F48,'کوهرت 1399'!F48,'کوهرت 1400'!F48,'کوهرت 1401'!F48)</ns0:f>
        <ns0:v>0.005385787366942237</ns0:v>
      </ns0:c>
      <ns0:c r="G275" s="78">
        <ns0:f>MAX('کوهرت 1392'!G48,'کوهرت 1393'!G48,'کوهرت 1394'!G48,'کوهرت 1397'!G48,'کوهرت 1398'!G48,'کوهرت 1399'!G48,'کوهرت 1400'!G48,'کوهرت 1401'!G48)-MIN('کوهرت 1392'!G48,'کوهرت 1393'!G48,'کوهرت 1394'!G48,'کوهرت 1397'!G48,'کوهرت 1398'!G48,'کوهرت 1399'!G48,'کوهرت 1400'!G48,'کوهرت 1401'!G48)</ns0:f>
        <ns0:v>0.01501364622568701</ns0:v>
      </ns0:c>
      <ns0:c r="H275" s="77">
        <ns0:f>MAX('کوهرت 1392'!H48,'کوهرت 1393'!H48,'کوهرت 1394'!H48,'کوهرت 1397'!H48,'کوهرت 1398'!H48,'کوهرت 1399'!H48,'کوهرت 1400'!H48,'کوهرت 1401'!H48)-MIN('کوهرت 1392'!H48,'کوهرت 1393'!H48,'کوهرت 1394'!H48,'کوهرت 1397'!H48,'کوهرت 1398'!H48,'کوهرت 1399'!H48,'کوهرت 1400'!H48,'کوهرت 1401'!H48)</ns0:f>
        <ns0:v>0.12487464726969388</ns0:v>
      </ns0:c>
      <ns0:c r="I275" s="78">
        <ns0:f>MAX('کوهرت 1392'!I48,'کوهرت 1393'!I48,'کوهرت 1394'!I48,'کوهرت 1397'!I48,'کوهرت 1398'!I48,'کوهرت 1399'!I48,'کوهرت 1400'!I48,'کوهرت 1401'!I48)-MIN('کوهرت 1392'!I48,'کوهرت 1393'!I48,'کوهرت 1394'!I48,'کوهرت 1397'!I48,'کوهرت 1398'!I48,'کوهرت 1399'!I48,'کوهرت 1400'!I48,'کوهرت 1401'!I48)</ns0:f>
        <ns0:v>0.004520493647162982</ns0:v>
      </ns0:c>
      <ns0:c r="J275" s="78">
        <ns0:f>MAX('کوهرت 1392'!J48,'کوهرت 1393'!J48,'کوهرت 1394'!J48,'کوهرت 1397'!J48,'کوهرت 1398'!J48,'کوهرت 1399'!J48,'کوهرت 1400'!J48,'کوهرت 1401'!J48)-MIN('کوهرت 1392'!J48,'کوهرت 1393'!J48,'کوهرت 1394'!J48,'کوهرت 1397'!J48,'کوهرت 1398'!J48,'کوهرت 1399'!J48,'کوهرت 1400'!J48,'کوهرت 1401'!J48)</ns0:f>
        <ns0:v>0.00926781346929519</ns0:v>
      </ns0:c>
      <ns0:c r="K275" s="78">
        <ns0:f>MAX('کوهرت 1392'!K48,'کوهرت 1393'!K48,'کوهرت 1394'!K48,'کوهرت 1397'!K48,'کوهرت 1398'!K48,'کوهرت 1399'!K48,'کوهرت 1400'!K48,'کوهرت 1401'!K48)-MIN('کوهرت 1392'!K48,'کوهرت 1393'!K48,'کوهرت 1394'!K48,'کوهرت 1397'!K48,'کوهرت 1398'!K48,'کوهرت 1399'!K48,'کوهرت 1400'!K48,'کوهرت 1401'!K48)</ns0:f>
        <ns0:v>0.01550380431317988</ns0:v>
      </ns0:c>
      <ns0:c r="L275" s="78">
        <ns0:f>MAX('کوهرت 1392'!L48,'کوهرت 1393'!L48,'کوهرت 1394'!L48,'کوهرت 1397'!L48,'کوهرت 1398'!L48,'کوهرت 1399'!L48,'کوهرت 1400'!L48,'کوهرت 1401'!L48)-MIN('کوهرت 1392'!L48,'کوهرت 1393'!L48,'کوهرت 1394'!L48,'کوهرت 1397'!L48,'کوهرت 1398'!L48,'کوهرت 1399'!L48,'کوهرت 1400'!L48,'کوهرت 1401'!L48)</ns0:f>
        <ns0:v>0.016161401884974856</ns0:v>
      </ns0:c>
      <ns0:c r="M275" s="78">
        <ns0:f>MAX('کوهرت 1392'!M48,'کوهرت 1393'!M48,'کوهرت 1394'!M48,'کوهرت 1397'!M48,'کوهرت 1398'!M48,'کوهرت 1399'!M48,'کوهرت 1400'!M48,'کوهرت 1401'!M48)-MIN('کوهرت 1392'!M48,'کوهرت 1393'!M48,'کوهرت 1394'!M48,'کوهرت 1397'!M48,'کوهرت 1398'!M48,'کوهرت 1399'!M48,'کوهرت 1400'!M48,'کوهرت 1401'!M48)</ns0:f>
        <ns0:v>0.009802988785566142</ns0:v>
      </ns0:c>
    </ns0:row>
    <ns0:row r="276" ht="30" customHeight="1">
      <ns0:c r="A276" s="73" t="inlineStr">
        <ns0:is>
          <ns0:t>حبوبات</ns0:t>
        </ns0:is>
      </ns0:c>
      <ns0:c r="B276" s="78">
        <ns0:f>MAX('کوهرت 1392'!B49,'کوهرت 1393'!B49,'کوهرت 1394'!B49,'کوهرت 1397'!B49,'کوهرت 1398'!B49,'کوهرت 1399'!B49,'کوهرت 1400'!B49,'کوهرت 1401'!B49)-MIN('کوهرت 1392'!B49,'کوهرت 1393'!B49,'کوهرت 1394'!B49,'کوهرت 1397'!B49,'کوهرت 1398'!B49,'کوهرت 1399'!B49,'کوهرت 1400'!B49,'کوهرت 1401'!B49)</ns0:f>
        <ns0:v>0.010947822554175687</ns0:v>
      </ns0:c>
      <ns0:c r="C276" s="78">
        <ns0:f>MAX('کوهرت 1392'!C49,'کوهرت 1393'!C49,'کوهرت 1394'!C49,'کوهرت 1397'!C49,'کوهرت 1398'!C49,'کوهرت 1399'!C49,'کوهرت 1400'!C49,'کوهرت 1401'!C49)-MIN('کوهرت 1392'!C49,'کوهرت 1393'!C49,'کوهرت 1394'!C49,'کوهرت 1397'!C49,'کوهرت 1398'!C49,'کوهرت 1399'!C49,'کوهرت 1400'!C49,'کوهرت 1401'!C49)</ns0:f>
        <ns0:v>0.028027893444852323</ns0:v>
      </ns0:c>
      <ns0:c r="D276" s="78">
        <ns0:f>MAX('کوهرت 1392'!D49,'کوهرت 1393'!D49,'کوهرت 1394'!D49,'کوهرت 1397'!D49,'کوهرت 1398'!D49,'کوهرت 1399'!D49,'کوهرت 1400'!D49,'کوهرت 1401'!D49)-MIN('کوهرت 1392'!D49,'کوهرت 1393'!D49,'کوهرت 1394'!D49,'کوهرت 1397'!D49,'کوهرت 1398'!D49,'کوهرت 1399'!D49,'کوهرت 1400'!D49,'کوهرت 1401'!D49)</ns0:f>
        <ns0:v>0.01410640511762544</ns0:v>
      </ns0:c>
      <ns0:c r="E276" s="78">
        <ns0:f>MAX('کوهرت 1392'!E49,'کوهرت 1393'!E49,'کوهرت 1394'!E49,'کوهرت 1397'!E49,'کوهرت 1398'!E49,'کوهرت 1399'!E49,'کوهرت 1400'!E49,'کوهرت 1401'!E49)-MIN('کوهرت 1392'!E49,'کوهرت 1393'!E49,'کوهرت 1394'!E49,'کوهرت 1397'!E49,'کوهرت 1398'!E49,'کوهرت 1399'!E49,'کوهرت 1400'!E49,'کوهرت 1401'!E49)</ns0:f>
        <ns0:v>0.015153588314690797</ns0:v>
      </ns0:c>
      <ns0:c r="F276" s="78">
        <ns0:f>MAX('کوهرت 1392'!F49,'کوهرت 1393'!F49,'کوهرت 1394'!F49,'کوهرت 1397'!F49,'کوهرت 1398'!F49,'کوهرت 1399'!F49,'کوهرت 1400'!F49,'کوهرت 1401'!F49)-MIN('کوهرت 1392'!F49,'کوهرت 1393'!F49,'کوهرت 1394'!F49,'کوهرت 1397'!F49,'کوهرت 1398'!F49,'کوهرت 1399'!F49,'کوهرت 1400'!F49,'کوهرت 1401'!F49)</ns0:f>
        <ns0:v>0.011496537814623467</ns0:v>
      </ns0:c>
      <ns0:c r="G276" s="78">
        <ns0:f>MAX('کوهرت 1392'!G49,'کوهرت 1393'!G49,'کوهرت 1394'!G49,'کوهرت 1397'!G49,'کوهرت 1398'!G49,'کوهرت 1399'!G49,'کوهرت 1400'!G49,'کوهرت 1401'!G49)-MIN('کوهرت 1392'!G49,'کوهرت 1393'!G49,'کوهرت 1394'!G49,'کوهرت 1397'!G49,'کوهرت 1398'!G49,'کوهرت 1399'!G49,'کوهرت 1400'!G49,'کوهرت 1401'!G49)</ns0:f>
        <ns0:v>0.012535929324346981</ns0:v>
      </ns0:c>
      <ns0:c r="H276" s="78">
        <ns0:f>MAX('کوهرت 1392'!H49,'کوهرت 1393'!H49,'کوهرت 1394'!H49,'کوهرت 1397'!H49,'کوهرت 1398'!H49,'کوهرت 1399'!H49,'کوهرت 1400'!H49,'کوهرت 1401'!H49)-MIN('کوهرت 1392'!H49,'کوهرت 1393'!H49,'کوهرت 1394'!H49,'کوهرت 1397'!H49,'کوهرت 1398'!H49,'کوهرت 1399'!H49,'کوهرت 1400'!H49,'کوهرت 1401'!H49)</ns0:f>
        <ns0:v>0.026876247276909182</ns0:v>
      </ns0:c>
      <ns0:c r="I276" s="77">
        <ns0:f>MAX('کوهرت 1392'!I49,'کوهرت 1393'!I49,'کوهرت 1394'!I49,'کوهرت 1397'!I49,'کوهرت 1398'!I49,'کوهرت 1399'!I49,'کوهرت 1400'!I49,'کوهرت 1401'!I49)-MIN('کوهرت 1392'!I49,'کوهرت 1393'!I49,'کوهرت 1394'!I49,'کوهرت 1397'!I49,'کوهرت 1398'!I49,'کوهرت 1399'!I49,'کوهرت 1400'!I49,'کوهرت 1401'!I49)</ns0:f>
        <ns0:v>0.02495967129214649</ns0:v>
      </ns0:c>
      <ns0:c r="J276" s="78">
        <ns0:f>MAX('کوهرت 1392'!J49,'کوهرت 1393'!J49,'کوهرت 1394'!J49,'کوهرت 1397'!J49,'کوهرت 1398'!J49,'کوهرت 1399'!J49,'کوهرت 1400'!J49,'کوهرت 1401'!J49)-MIN('کوهرت 1392'!J49,'کوهرت 1393'!J49,'کوهرت 1394'!J49,'کوهرت 1397'!J49,'کوهرت 1398'!J49,'کوهرت 1399'!J49,'کوهرت 1400'!J49,'کوهرت 1401'!J49)</ns0:f>
        <ns0:v>0.006421190522874751</ns0:v>
      </ns0:c>
      <ns0:c r="K276" s="78">
        <ns0:f>MAX('کوهرت 1392'!K49,'کوهرت 1393'!K49,'کوهرت 1394'!K49,'کوهرت 1397'!K49,'کوهرت 1398'!K49,'کوهرت 1399'!K49,'کوهرت 1400'!K49,'کوهرت 1401'!K49)-MIN('کوهرت 1392'!K49,'کوهرت 1393'!K49,'کوهرت 1394'!K49,'کوهرت 1397'!K49,'کوهرت 1398'!K49,'کوهرت 1399'!K49,'کوهرت 1400'!K49,'کوهرت 1401'!K49)</ns0:f>
        <ns0:v>0.02447997860355894</ns0:v>
      </ns0:c>
      <ns0:c r="L276" s="78">
        <ns0:f>MAX('کوهرت 1392'!L49,'کوهرت 1393'!L49,'کوهرت 1394'!L49,'کوهرت 1397'!L49,'کوهرت 1398'!L49,'کوهرت 1399'!L49,'کوهرت 1400'!L49,'کوهرت 1401'!L49)-MIN('کوهرت 1392'!L49,'کوهرت 1393'!L49,'کوهرت 1394'!L49,'کوهرت 1397'!L49,'کوهرت 1398'!L49,'کوهرت 1399'!L49,'کوهرت 1400'!L49,'کوهرت 1401'!L49)</ns0:f>
        <ns0:v>0.008721694519710759</ns0:v>
      </ns0:c>
      <ns0:c r="M276" s="78">
        <ns0:f>MAX('کوهرت 1392'!M49,'کوهرت 1393'!M49,'کوهرت 1394'!M49,'کوهرت 1397'!M49,'کوهرت 1398'!M49,'کوهرت 1399'!M49,'کوهرت 1400'!M49,'کوهرت 1401'!M49)-MIN('کوهرت 1392'!M49,'کوهرت 1393'!M49,'کوهرت 1394'!M49,'کوهرت 1397'!M49,'کوهرت 1398'!M49,'کوهرت 1399'!M49,'کوهرت 1400'!M49,'کوهرت 1401'!M49)</ns0:f>
        <ns0:v>0.0021234127114109803</ns0:v>
      </ns0:c>
    </ns0:row>
    <ns0:row r="277" ht="30" customHeight="1">
      <ns0:c r="A277" s="73" t="inlineStr">
        <ns0:is>
          <ns0:t>مغزها، خشکبار و خرما</ns0:t>
        </ns0:is>
      </ns0:c>
      <ns0:c r="B277" s="78">
        <ns0:f>MAX('کوهرت 1392'!B50,'کوهرت 1393'!B50,'کوهرت 1394'!B50,'کوهرت 1397'!B50,'کوهرت 1398'!B50,'کوهرت 1399'!B50,'کوهرت 1400'!B50,'کوهرت 1401'!B50)-MIN('کوهرت 1392'!B50,'کوهرت 1393'!B50,'کوهرت 1394'!B50,'کوهرت 1397'!B50,'کوهرت 1398'!B50,'کوهرت 1399'!B50,'کوهرت 1400'!B50,'کوهرت 1401'!B50)</ns0:f>
        <ns0:v>0.024677090865849086</ns0:v>
      </ns0:c>
      <ns0:c r="C277" s="78">
        <ns0:f>MAX('کوهرت 1392'!C50,'کوهرت 1393'!C50,'کوهرت 1394'!C50,'کوهرت 1397'!C50,'کوهرت 1398'!C50,'کوهرت 1399'!C50,'کوهرت 1400'!C50,'کوهرت 1401'!C50)-MIN('کوهرت 1392'!C50,'کوهرت 1393'!C50,'کوهرت 1394'!C50,'کوهرت 1397'!C50,'کوهرت 1398'!C50,'کوهرت 1399'!C50,'کوهرت 1400'!C50,'کوهرت 1401'!C50)</ns0:f>
        <ns0:v>0.026812536128667873</ns0:v>
      </ns0:c>
      <ns0:c r="D277" s="78">
        <ns0:f>MAX('کوهرت 1392'!D50,'کوهرت 1393'!D50,'کوهرت 1394'!D50,'کوهرت 1397'!D50,'کوهرت 1398'!D50,'کوهرت 1399'!D50,'کوهرت 1400'!D50,'کوهرت 1401'!D50)-MIN('کوهرت 1392'!D50,'کوهرت 1393'!D50,'کوهرت 1394'!D50,'کوهرت 1397'!D50,'کوهرت 1398'!D50,'کوهرت 1399'!D50,'کوهرت 1400'!D50,'کوهرت 1401'!D50)</ns0:f>
        <ns0:v>0.06751345757896102</ns0:v>
      </ns0:c>
      <ns0:c r="E277" s="78">
        <ns0:f>MAX('کوهرت 1392'!E50,'کوهرت 1393'!E50,'کوهرت 1394'!E50,'کوهرت 1397'!E50,'کوهرت 1398'!E50,'کوهرت 1399'!E50,'کوهرت 1400'!E50,'کوهرت 1401'!E50)-MIN('کوهرت 1392'!E50,'کوهرت 1393'!E50,'کوهرت 1394'!E50,'کوهرت 1397'!E50,'کوهرت 1398'!E50,'کوهرت 1399'!E50,'کوهرت 1400'!E50,'کوهرت 1401'!E50)</ns0:f>
        <ns0:v>0.07170545209127069</ns0:v>
      </ns0:c>
      <ns0:c r="F277" s="78">
        <ns0:f>MAX('کوهرت 1392'!F50,'کوهرت 1393'!F50,'کوهرت 1394'!F50,'کوهرت 1397'!F50,'کوهرت 1398'!F50,'کوهرت 1399'!F50,'کوهرت 1400'!F50,'کوهرت 1401'!F50)-MIN('کوهرت 1392'!F50,'کوهرت 1393'!F50,'کوهرت 1394'!F50,'کوهرت 1397'!F50,'کوهرت 1398'!F50,'کوهرت 1399'!F50,'کوهرت 1400'!F50,'کوهرت 1401'!F50)</ns0:f>
        <ns0:v>0.0075136712765654715</ns0:v>
      </ns0:c>
      <ns0:c r="G277" s="78">
        <ns0:f>MAX('کوهرت 1392'!G50,'کوهرت 1393'!G50,'کوهرت 1394'!G50,'کوهرت 1397'!G50,'کوهرت 1398'!G50,'کوهرت 1399'!G50,'کوهرت 1400'!G50,'کوهرت 1401'!G50)-MIN('کوهرت 1392'!G50,'کوهرت 1393'!G50,'کوهرت 1394'!G50,'کوهرت 1397'!G50,'کوهرت 1398'!G50,'کوهرت 1399'!G50,'کوهرت 1400'!G50,'کوهرت 1401'!G50)</ns0:f>
        <ns0:v>0.05158008032937686</ns0:v>
      </ns0:c>
      <ns0:c r="H277" s="78">
        <ns0:f>MAX('کوهرت 1392'!H50,'کوهرت 1393'!H50,'کوهرت 1394'!H50,'کوهرت 1397'!H50,'کوهرت 1398'!H50,'کوهرت 1399'!H50,'کوهرت 1400'!H50,'کوهرت 1401'!H50)-MIN('کوهرت 1392'!H50,'کوهرت 1393'!H50,'کوهرت 1394'!H50,'کوهرت 1397'!H50,'کوهرت 1398'!H50,'کوهرت 1399'!H50,'کوهرت 1400'!H50,'کوهرت 1401'!H50)</ns0:f>
        <ns0:v>0.018751666217021554</ns0:v>
      </ns0:c>
      <ns0:c r="I277" s="78">
        <ns0:f>MAX('کوهرت 1392'!I50,'کوهرت 1393'!I50,'کوهرت 1394'!I50,'کوهرت 1397'!I50,'کوهرت 1398'!I50,'کوهرت 1399'!I50,'کوهرت 1400'!I50,'کوهرت 1401'!I50)-MIN('کوهرت 1392'!I50,'کوهرت 1393'!I50,'کوهرت 1394'!I50,'کوهرت 1397'!I50,'کوهرت 1398'!I50,'کوهرت 1399'!I50,'کوهرت 1400'!I50,'کوهرت 1401'!I50)</ns0:f>
        <ns0:v>0.03987293778580166</ns0:v>
      </ns0:c>
      <ns0:c r="J277" s="77">
        <ns0:f>MAX('کوهرت 1392'!J50,'کوهرت 1393'!J50,'کوهرت 1394'!J50,'کوهرت 1397'!J50,'کوهرت 1398'!J50,'کوهرت 1399'!J50,'کوهرت 1400'!J50,'کوهرت 1401'!J50)-MIN('کوهرت 1392'!J50,'کوهرت 1393'!J50,'کوهرت 1394'!J50,'کوهرت 1397'!J50,'کوهرت 1398'!J50,'کوهرت 1399'!J50,'کوهرت 1400'!J50,'کوهرت 1401'!J50)</ns0:f>
        <ns0:v>0.057239247090804524</ns0:v>
      </ns0:c>
      <ns0:c r="K277" s="78">
        <ns0:f>MAX('کوهرت 1392'!K50,'کوهرت 1393'!K50,'کوهرت 1394'!K50,'کوهرت 1397'!K50,'کوهرت 1398'!K50,'کوهرت 1399'!K50,'کوهرت 1400'!K50,'کوهرت 1401'!K50)-MIN('کوهرت 1392'!K50,'کوهرت 1393'!K50,'کوهرت 1394'!K50,'کوهرت 1397'!K50,'کوهرت 1398'!K50,'کوهرت 1399'!K50,'کوهرت 1400'!K50,'کوهرت 1401'!K50)</ns0:f>
        <ns0:v>0.025295366511529013</ns0:v>
      </ns0:c>
      <ns0:c r="L277" s="78">
        <ns0:f>MAX('کوهرت 1392'!L50,'کوهرت 1393'!L50,'کوهرت 1394'!L50,'کوهرت 1397'!L50,'کوهرت 1398'!L50,'کوهرت 1399'!L50,'کوهرت 1400'!L50,'کوهرت 1401'!L50)-MIN('کوهرت 1392'!L50,'کوهرت 1393'!L50,'کوهرت 1394'!L50,'کوهرت 1397'!L50,'کوهرت 1398'!L50,'کوهرت 1399'!L50,'کوهرت 1400'!L50,'کوهرت 1401'!L50)</ns0:f>
        <ns0:v>0.029053145634362787</ns0:v>
      </ns0:c>
      <ns0:c r="M277" s="78">
        <ns0:f>MAX('کوهرت 1392'!M50,'کوهرت 1393'!M50,'کوهرت 1394'!M50,'کوهرت 1397'!M50,'کوهرت 1398'!M50,'کوهرت 1399'!M50,'کوهرت 1400'!M50,'کوهرت 1401'!M50)-MIN('کوهرت 1392'!M50,'کوهرت 1393'!M50,'کوهرت 1394'!M50,'کوهرت 1397'!M50,'کوهرت 1398'!M50,'کوهرت 1399'!M50,'کوهرت 1400'!M50,'کوهرت 1401'!M50)</ns0:f>
        <ns0:v>0.06681997569648697</ns0:v>
      </ns0:c>
    </ns0:row>
    <ns0:row r="278" ht="30" customHeight="1">
      <ns0:c r="A278" s="73" t="inlineStr">
        <ns0:is>
          <ns0:t>قند، شیرینی و تنقلات</ns0:t>
        </ns0:is>
      </ns0:c>
      <ns0:c r="B278" s="78">
        <ns0:f>MAX('کوهرت 1392'!B51,'کوهرت 1393'!B51,'کوهرت 1394'!B51,'کوهرت 1397'!B51,'کوهرت 1398'!B51,'کوهرت 1399'!B51,'کوهرت 1400'!B51,'کوهرت 1401'!B51)-MIN('کوهرت 1392'!B51,'کوهرت 1393'!B51,'کوهرت 1394'!B51,'کوهرت 1397'!B51,'کوهرت 1398'!B51,'کوهرت 1399'!B51,'کوهرت 1400'!B51,'کوهرت 1401'!B51)</ns0:f>
        <ns0:v>0.01751176086258266</ns0:v>
      </ns0:c>
      <ns0:c r="C278" s="78">
        <ns0:f>MAX('کوهرت 1392'!C51,'کوهرت 1393'!C51,'کوهرت 1394'!C51,'کوهرت 1397'!C51,'کوهرت 1398'!C51,'کوهرت 1399'!C51,'کوهرت 1400'!C51,'کوهرت 1401'!C51)-MIN('کوهرت 1392'!C51,'کوهرت 1393'!C51,'کوهرت 1394'!C51,'کوهرت 1397'!C51,'کوهرت 1398'!C51,'کوهرت 1399'!C51,'کوهرت 1400'!C51,'کوهرت 1401'!C51)</ns0:f>
        <ns0:v>0.022063171493928724</ns0:v>
      </ns0:c>
      <ns0:c r="D278" s="78">
        <ns0:f>MAX('کوهرت 1392'!D51,'کوهرت 1393'!D51,'کوهرت 1394'!D51,'کوهرت 1397'!D51,'کوهرت 1398'!D51,'کوهرت 1399'!D51,'کوهرت 1400'!D51,'کوهرت 1401'!D51)-MIN('کوهرت 1392'!D51,'کوهرت 1393'!D51,'کوهرت 1394'!D51,'کوهرت 1397'!D51,'کوهرت 1398'!D51,'کوهرت 1399'!D51,'کوهرت 1400'!D51,'کوهرت 1401'!D51)</ns0:f>
        <ns0:v>0.023049646154278444</ns0:v>
      </ns0:c>
      <ns0:c r="E278" s="78">
        <ns0:f>MAX('کوهرت 1392'!E51,'کوهرت 1393'!E51,'کوهرت 1394'!E51,'کوهرت 1397'!E51,'کوهرت 1398'!E51,'کوهرت 1399'!E51,'کوهرت 1400'!E51,'کوهرت 1401'!E51)-MIN('کوهرت 1392'!E51,'کوهرت 1393'!E51,'کوهرت 1394'!E51,'کوهرت 1397'!E51,'کوهرت 1398'!E51,'کوهرت 1399'!E51,'کوهرت 1400'!E51,'کوهرت 1401'!E51)</ns0:f>
        <ns0:v>0.008762223315781317</ns0:v>
      </ns0:c>
      <ns0:c r="F278" s="78">
        <ns0:f>MAX('کوهرت 1392'!F51,'کوهرت 1393'!F51,'کوهرت 1394'!F51,'کوهرت 1397'!F51,'کوهرت 1398'!F51,'کوهرت 1399'!F51,'کوهرت 1400'!F51,'کوهرت 1401'!F51)-MIN('کوهرت 1392'!F51,'کوهرت 1393'!F51,'کوهرت 1394'!F51,'کوهرت 1397'!F51,'کوهرت 1398'!F51,'کوهرت 1399'!F51,'کوهرت 1400'!F51,'کوهرت 1401'!F51)</ns0:f>
        <ns0:v>0.006258669089567809</ns0:v>
      </ns0:c>
      <ns0:c r="G278" s="78">
        <ns0:f>MAX('کوهرت 1392'!G51,'کوهرت 1393'!G51,'کوهرت 1394'!G51,'کوهرت 1397'!G51,'کوهرت 1398'!G51,'کوهرت 1399'!G51,'کوهرت 1400'!G51,'کوهرت 1401'!G51)-MIN('کوهرت 1392'!G51,'کوهرت 1393'!G51,'کوهرت 1394'!G51,'کوهرت 1397'!G51,'کوهرت 1398'!G51,'کوهرت 1399'!G51,'کوهرت 1400'!G51,'کوهرت 1401'!G51)</ns0:f>
        <ns0:v>0.01091968467900567</ns0:v>
      </ns0:c>
      <ns0:c r="H278" s="78">
        <ns0:f>MAX('کوهرت 1392'!H51,'کوهرت 1393'!H51,'کوهرت 1394'!H51,'کوهرت 1397'!H51,'کوهرت 1398'!H51,'کوهرت 1399'!H51,'کوهرت 1400'!H51,'کوهرت 1401'!H51)-MIN('کوهرت 1392'!H51,'کوهرت 1393'!H51,'کوهرت 1394'!H51,'کوهرت 1397'!H51,'کوهرت 1398'!H51,'کوهرت 1399'!H51,'کوهرت 1400'!H51,'کوهرت 1401'!H51)</ns0:f>
        <ns0:v>0.010997990705837346</ns0:v>
      </ns0:c>
      <ns0:c r="I278" s="78">
        <ns0:f>MAX('کوهرت 1392'!I51,'کوهرت 1393'!I51,'کوهرت 1394'!I51,'کوهرت 1397'!I51,'کوهرت 1398'!I51,'کوهرت 1399'!I51,'کوهرت 1400'!I51,'کوهرت 1401'!I51)-MIN('کوهرت 1392'!I51,'کوهرت 1393'!I51,'کوهرت 1394'!I51,'کوهرت 1397'!I51,'کوهرت 1398'!I51,'کوهرت 1399'!I51,'کوهرت 1400'!I51,'کوهرت 1401'!I51)</ns0:f>
        <ns0:v>0.0025323477718530024</ns0:v>
      </ns0:c>
      <ns0:c r="J278" s="78">
        <ns0:f>MAX('کوهرت 1392'!J51,'کوهرت 1393'!J51,'کوهرت 1394'!J51,'کوهرت 1397'!J51,'کوهرت 1398'!J51,'کوهرت 1399'!J51,'کوهرت 1400'!J51,'کوهرت 1401'!J51)-MIN('کوهرت 1392'!J51,'کوهرت 1393'!J51,'کوهرت 1394'!J51,'کوهرت 1397'!J51,'کوهرت 1398'!J51,'کوهرت 1399'!J51,'کوهرت 1400'!J51,'کوهرت 1401'!J51)</ns0:f>
        <ns0:v>0.009724287144178546</ns0:v>
      </ns0:c>
      <ns0:c r="K278" s="77">
        <ns0:f>MAX('کوهرت 1392'!K51,'کوهرت 1393'!K51,'کوهرت 1394'!K51,'کوهرت 1397'!K51,'کوهرت 1398'!K51,'کوهرت 1399'!K51,'کوهرت 1400'!K51,'کوهرت 1401'!K51)-MIN('کوهرت 1392'!K51,'کوهرت 1393'!K51,'کوهرت 1394'!K51,'کوهرت 1397'!K51,'کوهرت 1398'!K51,'کوهرت 1399'!K51,'کوهرت 1400'!K51,'کوهرت 1401'!K51)</ns0:f>
        <ns0:v>0.09481186642408068</ns0:v>
      </ns0:c>
      <ns0:c r="L278" s="78">
        <ns0:f>MAX('کوهرت 1392'!L51,'کوهرت 1393'!L51,'کوهرت 1394'!L51,'کوهرت 1397'!L51,'کوهرت 1398'!L51,'کوهرت 1399'!L51,'کوهرت 1400'!L51,'کوهرت 1401'!L51)-MIN('کوهرت 1392'!L51,'کوهرت 1393'!L51,'کوهرت 1394'!L51,'کوهرت 1397'!L51,'کوهرت 1398'!L51,'کوهرت 1399'!L51,'کوهرت 1400'!L51,'کوهرت 1401'!L51)</ns0:f>
        <ns0:v>0.013008723965916548</ns0:v>
      </ns0:c>
      <ns0:c r="M278" s="78">
        <ns0:f>MAX('کوهرت 1392'!M51,'کوهرت 1393'!M51,'کوهرت 1394'!M51,'کوهرت 1397'!M51,'کوهرت 1398'!M51,'کوهرت 1399'!M51,'کوهرت 1400'!M51,'کوهرت 1401'!M51)-MIN('کوهرت 1392'!M51,'کوهرت 1393'!M51,'کوهرت 1394'!M51,'کوهرت 1397'!M51,'کوهرت 1398'!M51,'کوهرت 1399'!M51,'کوهرت 1400'!M51,'کوهرت 1401'!M51)</ns0:f>
        <ns0:v>0.00432336683303162</ns0:v>
      </ns0:c>
    </ns0:row>
    <ns0:row r="279" ht="30" customHeight="1">
      <ns0:c r="A279" s="73" t="inlineStr">
        <ns0:is>
          <ns0:t>نوشیدنی بدون نوشابه</ns0:t>
        </ns0:is>
      </ns0:c>
      <ns0:c r="B279" s="78">
        <ns0:f>MAX('کوهرت 1392'!B52,'کوهرت 1393'!B52,'کوهرت 1394'!B52,'کوهرت 1397'!B52,'کوهرت 1398'!B52,'کوهرت 1399'!B52,'کوهرت 1400'!B52,'کوهرت 1401'!B52)-MIN('کوهرت 1392'!B52,'کوهرت 1393'!B52,'کوهرت 1394'!B52,'کوهرت 1397'!B52,'کوهرت 1398'!B52,'کوهرت 1399'!B52,'کوهرت 1400'!B52,'کوهرت 1401'!B52)</ns0:f>
        <ns0:v>0.031069394930466565</ns0:v>
      </ns0:c>
      <ns0:c r="C279" s="78">
        <ns0:f>MAX('کوهرت 1392'!C52,'کوهرت 1393'!C52,'کوهرت 1394'!C52,'کوهرت 1397'!C52,'کوهرت 1398'!C52,'کوهرت 1399'!C52,'کوهرت 1400'!C52,'کوهرت 1401'!C52)-MIN('کوهرت 1392'!C52,'کوهرت 1393'!C52,'کوهرت 1394'!C52,'کوهرت 1397'!C52,'کوهرت 1398'!C52,'کوهرت 1399'!C52,'کوهرت 1400'!C52,'کوهرت 1401'!C52)</ns0:f>
        <ns0:v>0.037643391832441836</ns0:v>
      </ns0:c>
      <ns0:c r="D279" s="78">
        <ns0:f>MAX('کوهرت 1392'!D52,'کوهرت 1393'!D52,'کوهرت 1394'!D52,'کوهرت 1397'!D52,'کوهرت 1398'!D52,'کوهرت 1399'!D52,'کوهرت 1400'!D52,'کوهرت 1401'!D52)-MIN('کوهرت 1392'!D52,'کوهرت 1393'!D52,'کوهرت 1394'!D52,'کوهرت 1397'!D52,'کوهرت 1398'!D52,'کوهرت 1399'!D52,'کوهرت 1400'!D52,'کوهرت 1401'!D52)</ns0:f>
        <ns0:v>0.009727014998476585</ns0:v>
      </ns0:c>
      <ns0:c r="E279" s="78">
        <ns0:f>MAX('کوهرت 1392'!E52,'کوهرت 1393'!E52,'کوهرت 1394'!E52,'کوهرت 1397'!E52,'کوهرت 1398'!E52,'کوهرت 1399'!E52,'کوهرت 1400'!E52,'کوهرت 1401'!E52)-MIN('کوهرت 1392'!E52,'کوهرت 1393'!E52,'کوهرت 1394'!E52,'کوهرت 1397'!E52,'کوهرت 1398'!E52,'کوهرت 1399'!E52,'کوهرت 1400'!E52,'کوهرت 1401'!E52)</ns0:f>
        <ns0:v>0.03407595167382049</ns0:v>
      </ns0:c>
      <ns0:c r="F279" s="78">
        <ns0:f>MAX('کوهرت 1392'!F52,'کوهرت 1393'!F52,'کوهرت 1394'!F52,'کوهرت 1397'!F52,'کوهرت 1398'!F52,'کوهرت 1399'!F52,'کوهرت 1400'!F52,'کوهرت 1401'!F52)-MIN('کوهرت 1392'!F52,'کوهرت 1393'!F52,'کوهرت 1394'!F52,'کوهرت 1397'!F52,'کوهرت 1398'!F52,'کوهرت 1399'!F52,'کوهرت 1400'!F52,'کوهرت 1401'!F52)</ns0:f>
        <ns0:v>0.008189942697374886</ns0:v>
      </ns0:c>
      <ns0:c r="G279" s="78">
        <ns0:f>MAX('کوهرت 1392'!G52,'کوهرت 1393'!G52,'کوهرت 1394'!G52,'کوهرت 1397'!G52,'کوهرت 1398'!G52,'کوهرت 1399'!G52,'کوهرت 1400'!G52,'کوهرت 1401'!G52)-MIN('کوهرت 1392'!G52,'کوهرت 1393'!G52,'کوهرت 1394'!G52,'کوهرت 1397'!G52,'کوهرت 1398'!G52,'کوهرت 1399'!G52,'کوهرت 1400'!G52,'کوهرت 1401'!G52)</ns0:f>
        <ns0:v>0.011969115713053684</ns0:v>
      </ns0:c>
      <ns0:c r="H279" s="78">
        <ns0:f>MAX('کوهرت 1392'!H52,'کوهرت 1393'!H52,'کوهرت 1394'!H52,'کوهرت 1397'!H52,'کوهرت 1398'!H52,'کوهرت 1399'!H52,'کوهرت 1400'!H52,'کوهرت 1401'!H52)-MIN('کوهرت 1392'!H52,'کوهرت 1393'!H52,'کوهرت 1394'!H52,'کوهرت 1397'!H52,'کوهرت 1398'!H52,'کوهرت 1399'!H52,'کوهرت 1400'!H52,'کوهرت 1401'!H52)</ns0:f>
        <ns0:v>0.015706464571791173</ns0:v>
      </ns0:c>
      <ns0:c r="I279" s="78">
        <ns0:f>MAX('کوهرت 1392'!I52,'کوهرت 1393'!I52,'کوهرت 1394'!I52,'کوهرت 1397'!I52,'کوهرت 1398'!I52,'کوهرت 1399'!I52,'کوهرت 1400'!I52,'کوهرت 1401'!I52)-MIN('کوهرت 1392'!I52,'کوهرت 1393'!I52,'کوهرت 1394'!I52,'کوهرت 1397'!I52,'کوهرت 1398'!I52,'کوهرت 1399'!I52,'کوهرت 1400'!I52,'کوهرت 1401'!I52)</ns0:f>
        <ns0:v>0.01591711184680137</ns0:v>
      </ns0:c>
      <ns0:c r="J279" s="78">
        <ns0:f>MAX('کوهرت 1392'!J52,'کوهرت 1393'!J52,'کوهرت 1394'!J52,'کوهرت 1397'!J52,'کوهرت 1398'!J52,'کوهرت 1399'!J52,'کوهرت 1400'!J52,'کوهرت 1401'!J52)-MIN('کوهرت 1392'!J52,'کوهرت 1393'!J52,'کوهرت 1394'!J52,'کوهرت 1397'!J52,'کوهرت 1398'!J52,'کوهرت 1399'!J52,'کوهرت 1400'!J52,'کوهرت 1401'!J52)</ns0:f>
        <ns0:v>0.02646358438800092</ns0:v>
      </ns0:c>
      <ns0:c r="K279" s="78">
        <ns0:f>MAX('کوهرت 1392'!K52,'کوهرت 1393'!K52,'کوهرت 1394'!K52,'کوهرت 1397'!K52,'کوهرت 1398'!K52,'کوهرت 1399'!K52,'کوهرت 1400'!K52,'کوهرت 1401'!K52)-MIN('کوهرت 1392'!K52,'کوهرت 1393'!K52,'کوهرت 1394'!K52,'کوهرت 1397'!K52,'کوهرت 1398'!K52,'کوهرت 1399'!K52,'کوهرت 1400'!K52,'کوهرت 1401'!K52)</ns0:f>
        <ns0:v>0.04337778294015068</ns0:v>
      </ns0:c>
      <ns0:c r="L279" s="77">
        <ns0:f>MAX('کوهرت 1392'!L52,'کوهرت 1393'!L52,'کوهرت 1394'!L52,'کوهرت 1397'!L52,'کوهرت 1398'!L52,'کوهرت 1399'!L52,'کوهرت 1400'!L52,'کوهرت 1401'!L52)-MIN('کوهرت 1392'!L52,'کوهرت 1393'!L52,'کوهرت 1394'!L52,'کوهرت 1397'!L52,'کوهرت 1398'!L52,'کوهرت 1399'!L52,'کوهرت 1400'!L52,'کوهرت 1401'!L52)</ns0:f>
        <ns0:v>0.06878044559973828</ns0:v>
      </ns0:c>
      <ns0:c r="M279" s="78">
        <ns0:f>MAX('کوهرت 1392'!M52,'کوهرت 1393'!M52,'کوهرت 1394'!M52,'کوهرت 1397'!M52,'کوهرت 1398'!M52,'کوهرت 1399'!M52,'کوهرت 1400'!M52,'کوهرت 1401'!M52)-MIN('کوهرت 1392'!M52,'کوهرت 1393'!M52,'کوهرت 1394'!M52,'کوهرت 1397'!M52,'کوهرت 1398'!M52,'کوهرت 1399'!M52,'کوهرت 1400'!M52,'کوهرت 1401'!M52)</ns0:f>
        <ns0:v>0.029032868877694476</ns0:v>
      </ns0:c>
    </ns0:row>
    <ns0:row r="280" ht="30" customHeight="1">
      <ns0:c r="A280" s="73" t="inlineStr">
        <ns0:is>
          <ns0:t>ادویه و چاشنی</ns0:t>
        </ns0:is>
      </ns0:c>
      <ns0:c r="B280" s="78">
        <ns0:f>MAX('کوهرت 1392'!B53,'کوهرت 1393'!B53,'کوهرت 1394'!B53,'کوهرت 1397'!B53,'کوهرت 1398'!B53,'کوهرت 1399'!B53,'کوهرت 1400'!B53,'کوهرت 1401'!B53)-MIN('کوهرت 1392'!B53,'کوهرت 1393'!B53,'کوهرت 1394'!B53,'کوهرت 1397'!B53,'کوهرت 1398'!B53,'کوهرت 1399'!B53,'کوهرت 1400'!B53,'کوهرت 1401'!B53)</ns0:f>
        <ns0:v>0.039124085967052774</ns0:v>
      </ns0:c>
      <ns0:c r="C280" s="78">
        <ns0:f>MAX('کوهرت 1392'!C53,'کوهرت 1393'!C53,'کوهرت 1394'!C53,'کوهرت 1397'!C53,'کوهرت 1398'!C53,'کوهرت 1399'!C53,'کوهرت 1400'!C53,'کوهرت 1401'!C53)-MIN('کوهرت 1392'!C53,'کوهرت 1393'!C53,'کوهرت 1394'!C53,'کوهرت 1397'!C53,'کوهرت 1398'!C53,'کوهرت 1399'!C53,'کوهرت 1400'!C53,'کوهرت 1401'!C53)</ns0:f>
        <ns0:v>0.02724441706561477</ns0:v>
      </ns0:c>
      <ns0:c r="D280" s="78">
        <ns0:f>MAX('کوهرت 1392'!D53,'کوهرت 1393'!D53,'کوهرت 1394'!D53,'کوهرت 1397'!D53,'کوهرت 1398'!D53,'کوهرت 1399'!D53,'کوهرت 1400'!D53,'کوهرت 1401'!D53)-MIN('کوهرت 1392'!D53,'کوهرت 1393'!D53,'کوهرت 1394'!D53,'کوهرت 1397'!D53,'کوهرت 1398'!D53,'کوهرت 1399'!D53,'کوهرت 1400'!D53,'کوهرت 1401'!D53)</ns0:f>
        <ns0:v>0.021829726528990456</ns0:v>
      </ns0:c>
      <ns0:c r="E280" s="78">
        <ns0:f>MAX('کوهرت 1392'!E53,'کوهرت 1393'!E53,'کوهرت 1394'!E53,'کوهرت 1397'!E53,'کوهرت 1398'!E53,'کوهرت 1399'!E53,'کوهرت 1400'!E53,'کوهرت 1401'!E53)-MIN('کوهرت 1392'!E53,'کوهرت 1393'!E53,'کوهرت 1394'!E53,'کوهرت 1397'!E53,'کوهرت 1398'!E53,'کوهرت 1399'!E53,'کوهرت 1400'!E53,'کوهرت 1401'!E53)</ns0:f>
        <ns0:v>0.048306663067191336</ns0:v>
      </ns0:c>
      <ns0:c r="F280" s="78">
        <ns0:f>MAX('کوهرت 1392'!F53,'کوهرت 1393'!F53,'کوهرت 1394'!F53,'کوهرت 1397'!F53,'کوهرت 1398'!F53,'کوهرت 1399'!F53,'کوهرت 1400'!F53,'کوهرت 1401'!F53)-MIN('کوهرت 1392'!F53,'کوهرت 1393'!F53,'کوهرت 1394'!F53,'کوهرت 1397'!F53,'کوهرت 1398'!F53,'کوهرت 1399'!F53,'کوهرت 1400'!F53,'کوهرت 1401'!F53)</ns0:f>
        <ns0:v>0.00398732118857912</ns0:v>
      </ns0:c>
      <ns0:c r="G280" s="78">
        <ns0:f>MAX('کوهرت 1392'!G53,'کوهرت 1393'!G53,'کوهرت 1394'!G53,'کوهرت 1397'!G53,'کوهرت 1398'!G53,'کوهرت 1399'!G53,'کوهرت 1400'!G53,'کوهرت 1401'!G53)-MIN('کوهرت 1392'!G53,'کوهرت 1393'!G53,'کوهرت 1394'!G53,'کوهرت 1397'!G53,'کوهرت 1398'!G53,'کوهرت 1399'!G53,'کوهرت 1400'!G53,'کوهرت 1401'!G53)</ns0:f>
        <ns0:v>0.013566392505267026</ns0:v>
      </ns0:c>
      <ns0:c r="H280" s="78">
        <ns0:f>MAX('کوهرت 1392'!H53,'کوهرت 1393'!H53,'کوهرت 1394'!H53,'کوهرت 1397'!H53,'کوهرت 1398'!H53,'کوهرت 1399'!H53,'کوهرت 1400'!H53,'کوهرت 1401'!H53)-MIN('کوهرت 1392'!H53,'کوهرت 1393'!H53,'کوهرت 1394'!H53,'کوهرت 1397'!H53,'کوهرت 1398'!H53,'کوهرت 1399'!H53,'کوهرت 1400'!H53,'کوهرت 1401'!H53)</ns0:f>
        <ns0:v>0.008765318254922522</ns0:v>
      </ns0:c>
      <ns0:c r="I280" s="78">
        <ns0:f>MAX('کوهرت 1392'!I53,'کوهرت 1393'!I53,'کوهرت 1394'!I53,'کوهرت 1397'!I53,'کوهرت 1398'!I53,'کوهرت 1399'!I53,'کوهرت 1400'!I53,'کوهرت 1401'!I53)-MIN('کوهرت 1392'!I53,'کوهرت 1393'!I53,'کوهرت 1394'!I53,'کوهرت 1397'!I53,'کوهرت 1398'!I53,'کوهرت 1399'!I53,'کوهرت 1400'!I53,'کوهرت 1401'!I53)</ns0:f>
        <ns0:v>0.00588587086381338</ns0:v>
      </ns0:c>
      <ns0:c r="J280" s="78">
        <ns0:f>MAX('کوهرت 1392'!J53,'کوهرت 1393'!J53,'کوهرت 1394'!J53,'کوهرت 1397'!J53,'کوهرت 1398'!J53,'کوهرت 1399'!J53,'کوهرت 1400'!J53,'کوهرت 1401'!J53)-MIN('کوهرت 1392'!J53,'کوهرت 1393'!J53,'کوهرت 1394'!J53,'کوهرت 1397'!J53,'کوهرت 1398'!J53,'کوهرت 1399'!J53,'کوهرت 1400'!J53,'کوهرت 1401'!J53)</ns0:f>
        <ns0:v>0.03497291328547453</ns0:v>
      </ns0:c>
      <ns0:c r="K280" s="78">
        <ns0:f>MAX('کوهرت 1392'!K53,'کوهرت 1393'!K53,'کوهرت 1394'!K53,'کوهرت 1397'!K53,'کوهرت 1398'!K53,'کوهرت 1399'!K53,'کوهرت 1400'!K53,'کوهرت 1401'!K53)-MIN('کوهرت 1392'!K53,'کوهرت 1393'!K53,'کوهرت 1394'!K53,'کوهرت 1397'!K53,'کوهرت 1398'!K53,'کوهرت 1399'!K53,'کوهرت 1400'!K53,'کوهرت 1401'!K53)</ns0:f>
        <ns0:v>0.006246250210003433</ns0:v>
      </ns0:c>
      <ns0:c r="L280" s="78">
        <ns0:f>MAX('کوهرت 1392'!L53,'کوهرت 1393'!L53,'کوهرت 1394'!L53,'کوهرت 1397'!L53,'کوهرت 1398'!L53,'کوهرت 1399'!L53,'کوهرت 1400'!L53,'کوهرت 1401'!L53)-MIN('کوهرت 1392'!L53,'کوهرت 1393'!L53,'کوهرت 1394'!L53,'کوهرت 1397'!L53,'کوهرت 1398'!L53,'کوهرت 1399'!L53,'کوهرت 1400'!L53,'کوهرت 1401'!L53)</ns0:f>
        <ns0:v>0.011580768525051258</ns0:v>
      </ns0:c>
      <ns0:c r="M280" s="77">
        <ns0:f>MAX('کوهرت 1392'!M53,'کوهرت 1393'!M53,'کوهرت 1394'!M53,'کوهرت 1397'!M53,'کوهرت 1398'!M53,'کوهرت 1399'!M53,'کوهرت 1400'!M53,'کوهرت 1401'!M53)-MIN('کوهرت 1392'!M53,'کوهرت 1393'!M53,'کوهرت 1394'!M53,'کوهرت 1397'!M53,'کوهرت 1398'!M53,'کوهرت 1399'!M53,'کوهرت 1400'!M53,'کوهرت 1401'!M53)</ns0:f>
        <ns0:v>0.09205786913087755</ns0:v>
      </ns0:c>
    </ns0:row>
  </ns0:sheetData>
  <ns0:mergeCells count="24">
    <ns0:mergeCell ref="A22:D22"/>
    <ns0:mergeCell ref="A4:D4"/>
    <ns0:mergeCell ref="F58:I58"/>
    <ns0:mergeCell ref="A97:M97"/>
    <ns0:mergeCell ref="A131:M131"/>
    <ns0:mergeCell ref="A165:M165"/>
    <ns0:mergeCell ref="A199:M199"/>
    <ns0:mergeCell ref="A40:D40"/>
    <ns0:mergeCell ref="A2:I2"/>
    <ns0:mergeCell ref="A58:D58"/>
    <ns0:mergeCell ref="A76:I76"/>
    <ns0:mergeCell ref="F4:I4"/>
    <ns0:mergeCell ref="A114:M114"/>
    <ns0:mergeCell ref="A148:M148"/>
    <ns0:mergeCell ref="A182:M182"/>
    <ns0:mergeCell ref="F40:I40"/>
    <ns0:mergeCell ref="A216:M216"/>
    <ns0:mergeCell ref="A250:M250"/>
    <ns0:mergeCell ref="A78:M78"/>
    <ns0:mergeCell ref="A80:M80"/>
    <ns0:mergeCell ref="A233:M233"/>
    <ns0:mergeCell ref="A267:M267"/>
    <ns0:mergeCell ref="A1:I1"/>
    <ns0:mergeCell ref="F22:I22"/>
  </ns0:mergeCells>
  <ns0:pageMargins left="0.7" right="0.7" top="0.75" bottom="0.75" header="0.3" footer="0.3"/>
  <ns0:pageSetup orientation="landscape" paperSize="8" fitToHeight="0" fitToWidth="1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2026-10-10T02:10:13Z</dcterms:created>
  <dcterms:modified xmlns:dcterms="http://purl.org/dc/terms/" xmlns:xsi="http://www.w3.org/2001/XMLSchema-instance" xsi:type="dcterms:W3CDTF">2026-10-10T02:10:13Z</dcterms:modified>
</cp:coreProperties>
</file>