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3b12e30a5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کل نمونه" sheetId="1" r:id="R61b66f9826d64d4a"/>
    <x:sheet xmlns:r="http://schemas.openxmlformats.org/officeDocument/2006/relationships" name="سال 1392" sheetId="2" r:id="R3db71f9306f44f90"/>
    <x:sheet xmlns:r="http://schemas.openxmlformats.org/officeDocument/2006/relationships" name="سال 1393" sheetId="3" r:id="Rd65a2795bd2f4e0a"/>
    <x:sheet xmlns:r="http://schemas.openxmlformats.org/officeDocument/2006/relationships" name="سال 1394" sheetId="4" r:id="R3b615a4223804833"/>
    <x:sheet xmlns:r="http://schemas.openxmlformats.org/officeDocument/2006/relationships" name="سال 1395" sheetId="5" r:id="R13a853ef06224c88"/>
    <x:sheet xmlns:r="http://schemas.openxmlformats.org/officeDocument/2006/relationships" name="سال 1396" sheetId="6" r:id="Rf6ba0cfeed27429b"/>
    <x:sheet xmlns:r="http://schemas.openxmlformats.org/officeDocument/2006/relationships" name="سال 1397" sheetId="7" r:id="Rfe55839cc11b41cd"/>
    <x:sheet xmlns:r="http://schemas.openxmlformats.org/officeDocument/2006/relationships" name="سال 1398" sheetId="8" r:id="R8ad99a4247e04ff0"/>
    <x:sheet xmlns:r="http://schemas.openxmlformats.org/officeDocument/2006/relationships" name="سال 1399" sheetId="9" r:id="R0c4b2a9a971f412e"/>
    <x:sheet xmlns:r="http://schemas.openxmlformats.org/officeDocument/2006/relationships" name="سال 1400" sheetId="10" r:id="Rd18c0b0141f64744"/>
    <x:sheet xmlns:r="http://schemas.openxmlformats.org/officeDocument/2006/relationships" name="سال 1401" sheetId="11" r:id="Rac2f44931f194cef"/>
    <x:sheet xmlns:r="http://schemas.openxmlformats.org/officeDocument/2006/relationships" name="سال 1402" sheetId="12" r:id="Rd612c68db65a46ac"/>
    <x:sheet xmlns:r="http://schemas.openxmlformats.org/officeDocument/2006/relationships" name="سال 1403" sheetId="13" r:id="R8b5076a4922a4556"/>
    <x:sheet xmlns:r="http://schemas.openxmlformats.org/officeDocument/2006/relationships" name="کوهرت 1392" sheetId="14" r:id="R26a8953f29894420"/>
    <x:sheet xmlns:r="http://schemas.openxmlformats.org/officeDocument/2006/relationships" name="کوهرت 1393" sheetId="15" r:id="Rc763324cc6e640a1"/>
    <x:sheet xmlns:r="http://schemas.openxmlformats.org/officeDocument/2006/relationships" name="کوهرت 1394" sheetId="16" r:id="Rce3e2afa845c4797"/>
    <x:sheet xmlns:r="http://schemas.openxmlformats.org/officeDocument/2006/relationships" name="کوهرت 1397" sheetId="17" r:id="Rb034bffeada949cf"/>
    <x:sheet xmlns:r="http://schemas.openxmlformats.org/officeDocument/2006/relationships" name="کوهرت 1398" sheetId="18" r:id="R729ec554d7e34eeb"/>
    <x:sheet xmlns:r="http://schemas.openxmlformats.org/officeDocument/2006/relationships" name="کوهرت 1399" sheetId="19" r:id="R885dd8dad0cd4341"/>
    <x:sheet xmlns:r="http://schemas.openxmlformats.org/officeDocument/2006/relationships" name="کوهرت 1400" sheetId="20" r:id="Rcbae40f7fdfc4c9d"/>
    <x:sheet xmlns:r="http://schemas.openxmlformats.org/officeDocument/2006/relationships" name="کوهرت 1401" sheetId="21" r:id="Rbdd89037b3b441fc"/>
    <x:sheet xmlns:r="http://schemas.openxmlformats.org/officeDocument/2006/relationships" name="دامنه تغییرات" sheetId="22" r:id="R8b6685f69491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;[Red](0.0000);–"/>
    <x:numFmt numFmtId="201" formatCode="0.0000;-0.0000;–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687B8B"/>
      <x:name val="Carlito"/>
    </x:font>
    <x:font>
      <x:b/>
      <x:sz val="11"/>
      <x:color rgb="FFFFFFFF"/>
      <x:name val="Carlito"/>
    </x:font>
    <x:font>
      <x:b/>
      <x:sz val="11"/>
      <x:color rgb="FF142D45"/>
      <x:name val="Carlito"/>
    </x:font>
    <x:font>
      <x:sz val="11"/>
      <x:color rgb="FF243747"/>
      <x:name val="Carlito"/>
    </x:font>
    <x:font>
      <x:sz val="9"/>
      <x:color rgb="FF687B8B"/>
      <x:name val="Carlito"/>
    </x:font>
    <x:font>
      <x:b/>
      <x:sz val="11"/>
      <x:color rgb="FF2437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42D45"/>
      </x:patternFill>
    </x:fill>
    <x:fill>
      <x:patternFill patternType="solid">
        <x:fgColor rgb="FFF4F8FB"/>
      </x:patternFill>
    </x:fill>
    <x:fill>
      <x:patternFill patternType="solid">
        <x:fgColor rgb="FF245F85"/>
      </x:patternFill>
    </x:fill>
    <x:fill>
      <x:patternFill patternType="solid">
        <x:fgColor rgb="FF157E79"/>
      </x:patternFill>
    </x:fill>
    <x:fill>
      <x:patternFill patternType="solid">
        <x:fgColor rgb="FFECF3F8"/>
      </x:patternFill>
    </x:fill>
    <x:fill>
      <x:patternFill patternType="solid">
        <x:fgColor rgb="FFF0EBF7"/>
      </x:patternFill>
    </x:fill>
    <x:fill>
      <x:patternFill patternType="solid">
        <x:fgColor rgb="FFE8F3F4"/>
      </x:patternFill>
    </x:fill>
    <x:fill>
      <x:patternFill patternType="solid">
        <x:fgColor rgb="FFE1F3EB"/>
      </x:patternFill>
    </x:fill>
    <x:fill>
      <x:patternFill patternType="solid">
        <x:fgColor rgb="FF69519A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200" fontId="0" fillId="8" borderId="0" xfId="0" applyNumberFormat="1" applyFont="1" applyFill="1" applyBorder="1"/>
    <x:xf numFmtId="200" fontId="0" fillId="8" borderId="1" xfId="0" applyNumberFormat="1" applyFont="1" applyFill="1" applyBorder="1"/>
    <x:xf numFmtId="200" fontId="0" fillId="6" borderId="0" xfId="0" applyNumberFormat="1" applyFont="1" applyFill="1" applyBorder="1" applyAlignment="1">
      <x:alignment horizontal="center"/>
    </x:xf>
    <x:xf numFmtId="200" fontId="0" fillId="7" borderId="0" xfId="0" applyNumberFormat="1" applyFont="1" applyFill="1" applyBorder="1" applyAlignment="1">
      <x:alignment horizontal="center"/>
    </x:xf>
    <x:xf numFmtId="200" fontId="0" fillId="8" borderId="0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 applyAlignment="1">
      <x:alignment horizontal="center"/>
    </x:xf>
    <x:xf numFmtId="200" fontId="0" fillId="7" borderId="1" xfId="0" applyNumberFormat="1" applyFont="1" applyFill="1" applyBorder="1" applyAlignment="1">
      <x:alignment horizontal="center"/>
    </x:xf>
    <x:xf numFmtId="200" fontId="0" fillId="8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9" borderId="0" xfId="0" applyNumberFormat="1" applyFont="1" applyFill="1" applyBorder="1" applyAlignment="1">
      <x:alignment horizontal="center"/>
    </x:xf>
    <x:xf numFmtId="200" fontId="0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201" fontId="0" fillId="6" borderId="0" xfId="0" applyNumberFormat="1" applyFont="1" applyFill="1" applyBorder="1" applyAlignment="1">
      <x:alignment horizontal="center"/>
    </x:xf>
    <x:xf numFmtId="201" fontId="0" fillId="7" borderId="0" xfId="0" applyNumberFormat="1" applyFont="1" applyFill="1" applyBorder="1" applyAlignment="1">
      <x:alignment horizontal="center"/>
    </x:xf>
    <x:xf numFmtId="201" fontId="0" fillId="8" borderId="0" xfId="0" applyNumberFormat="1" applyFont="1" applyFill="1" applyBorder="1" applyAlignment="1">
      <x:alignment horizontal="center"/>
    </x:xf>
    <x:xf numFmtId="201" fontId="0" fillId="6" borderId="1" xfId="0" applyNumberFormat="1" applyFont="1" applyFill="1" applyBorder="1" applyAlignment="1">
      <x:alignment horizontal="center"/>
    </x:xf>
    <x:xf numFmtId="201" fontId="0" fillId="7" borderId="1" xfId="0" applyNumberFormat="1" applyFont="1" applyFill="1" applyBorder="1" applyAlignment="1">
      <x:alignment horizontal="center"/>
    </x:xf>
    <x:xf numFmtId="201" fontId="0" fillId="8" borderId="1" xfId="0" applyNumberFormat="1" applyFont="1" applyFill="1" applyBorder="1" applyAlignment="1">
      <x:alignment horizontal="center"/>
    </x:xf>
    <x:xf numFmtId="201" fontId="0" fillId="9" borderId="0" xfId="0" applyNumberFormat="1" applyFont="1" applyFill="1" applyBorder="1" applyAlignment="1">
      <x:alignment horizontal="center"/>
    </x:xf>
    <x:xf numFmtId="201" fontId="0" fillId="9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67e726ed44449" /><Relationship Type="http://schemas.openxmlformats.org/officeDocument/2006/relationships/theme" Target="/xl/theme/theme1.xml" Id="R065745fb40174e73" /><Relationship Type="http://schemas.openxmlformats.org/officeDocument/2006/relationships/sharedStrings" Target="/xl/sharedStrings.xml" Id="R7ba43ee77fd74856" /><Relationship Type="http://schemas.openxmlformats.org/officeDocument/2006/relationships/worksheet" Target="/xl/worksheets/sheet1.xml" Id="R61b66f9826d64d4a" /><Relationship Type="http://schemas.openxmlformats.org/officeDocument/2006/relationships/worksheet" Target="/xl/worksheets/sheet2.xml" Id="R3db71f9306f44f90" /><Relationship Type="http://schemas.openxmlformats.org/officeDocument/2006/relationships/worksheet" Target="/xl/worksheets/sheet3.xml" Id="Rd65a2795bd2f4e0a" /><Relationship Type="http://schemas.openxmlformats.org/officeDocument/2006/relationships/worksheet" Target="/xl/worksheets/sheet4.xml" Id="R3b615a4223804833" /><Relationship Type="http://schemas.openxmlformats.org/officeDocument/2006/relationships/worksheet" Target="/xl/worksheets/sheet5.xml" Id="R13a853ef06224c88" /><Relationship Type="http://schemas.openxmlformats.org/officeDocument/2006/relationships/worksheet" Target="/xl/worksheets/sheet6.xml" Id="Rf6ba0cfeed27429b" /><Relationship Type="http://schemas.openxmlformats.org/officeDocument/2006/relationships/worksheet" Target="/xl/worksheets/sheet7.xml" Id="Rfe55839cc11b41cd" /><Relationship Type="http://schemas.openxmlformats.org/officeDocument/2006/relationships/worksheet" Target="/xl/worksheets/sheet8.xml" Id="R8ad99a4247e04ff0" /><Relationship Type="http://schemas.openxmlformats.org/officeDocument/2006/relationships/worksheet" Target="/xl/worksheets/sheet9.xml" Id="R0c4b2a9a971f412e" /><Relationship Type="http://schemas.openxmlformats.org/officeDocument/2006/relationships/worksheet" Target="/xl/worksheets/sheet10.xml" Id="Rd18c0b0141f64744" /><Relationship Type="http://schemas.openxmlformats.org/officeDocument/2006/relationships/worksheet" Target="/xl/worksheets/sheet11.xml" Id="Rac2f44931f194cef" /><Relationship Type="http://schemas.openxmlformats.org/officeDocument/2006/relationships/worksheet" Target="/xl/worksheets/sheet12.xml" Id="Rd612c68db65a46ac" /><Relationship Type="http://schemas.openxmlformats.org/officeDocument/2006/relationships/worksheet" Target="/xl/worksheets/sheet13.xml" Id="R8b5076a4922a4556" /><Relationship Type="http://schemas.openxmlformats.org/officeDocument/2006/relationships/worksheet" Target="/xl/worksheets/sheet14.xml" Id="R26a8953f29894420" /><Relationship Type="http://schemas.openxmlformats.org/officeDocument/2006/relationships/worksheet" Target="/xl/worksheets/sheet15.xml" Id="Rc763324cc6e640a1" /><Relationship Type="http://schemas.openxmlformats.org/officeDocument/2006/relationships/worksheet" Target="/xl/worksheets/sheet16.xml" Id="Rce3e2afa845c4797" /><Relationship Type="http://schemas.openxmlformats.org/officeDocument/2006/relationships/worksheet" Target="/xl/worksheets/sheet17.xml" Id="Rb034bffeada949cf" /><Relationship Type="http://schemas.openxmlformats.org/officeDocument/2006/relationships/worksheet" Target="/xl/worksheets/sheet18.xml" Id="R729ec554d7e34eeb" /><Relationship Type="http://schemas.openxmlformats.org/officeDocument/2006/relationships/worksheet" Target="/xl/worksheets/sheet19.xml" Id="R885dd8dad0cd4341" /><Relationship Type="http://schemas.openxmlformats.org/officeDocument/2006/relationships/worksheet" Target="/xl/worksheets/sheet20.xml" Id="Rcbae40f7fdfc4c9d" /><Relationship Type="http://schemas.openxmlformats.org/officeDocument/2006/relationships/worksheet" Target="/xl/worksheets/sheet21.xml" Id="Rbdd89037b3b441fc" /><Relationship Type="http://schemas.openxmlformats.org/officeDocument/2006/relationships/worksheet" Target="/xl/worksheets/sheet22.xml" Id="R8b6685f6949147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کل نمونه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-1.079</x:v>
      </x:c>
      <x:c r="C6" s="61" t="n">
        <x:v>-1.0772</x:v>
      </x:c>
      <x:c r="D6" s="62" t="n">
        <x:v>1.5667</x:v>
      </x:c>
      <x:c r="E6" s="61" t="n">
        <x:v>1.6176</x:v>
      </x:c>
    </x:row>
    <x:row r="7" ht="23" customHeight="1">
      <x:c r="A7" s="28" t="str">
        <x:v>نان و غلات</x:v>
      </x:c>
      <x:c r="B7" s="60" t="n">
        <x:v>-0.6691</x:v>
      </x:c>
      <x:c r="C7" s="61" t="n">
        <x:v>-0.635</x:v>
      </x:c>
      <x:c r="D7" s="62" t="n">
        <x:v>0.4328</x:v>
      </x:c>
      <x:c r="E7" s="61" t="n">
        <x:v>0.3244</x:v>
      </x:c>
    </x:row>
    <x:row r="8" ht="23" customHeight="1">
      <x:c r="A8" s="28" t="str">
        <x:v>گوشت</x:v>
      </x:c>
      <x:c r="B8" s="60" t="n">
        <x:v>-0.9221</x:v>
      </x:c>
      <x:c r="C8" s="61" t="n">
        <x:v>-0.933</x:v>
      </x:c>
      <x:c r="D8" s="62" t="n">
        <x:v>1.2389</x:v>
      </x:c>
      <x:c r="E8" s="61" t="n">
        <x:v>1.2596</x:v>
      </x:c>
    </x:row>
    <x:row r="9" ht="23" customHeight="1">
      <x:c r="A9" s="28" t="str">
        <x:v>لبنیات و تخم‌مرغ</x:v>
      </x:c>
      <x:c r="B9" s="60" t="n">
        <x:v>-0.8005</x:v>
      </x:c>
      <x:c r="C9" s="61" t="n">
        <x:v>-0.7941</x:v>
      </x:c>
      <x:c r="D9" s="62" t="n">
        <x:v>0.858</x:v>
      </x:c>
      <x:c r="E9" s="61" t="n">
        <x:v>0.8334</x:v>
      </x:c>
    </x:row>
    <x:row r="10" ht="23" customHeight="1">
      <x:c r="A10" s="28" t="str">
        <x:v>روغن و چربی</x:v>
      </x:c>
      <x:c r="B10" s="60" t="n">
        <x:v>-0.4679</x:v>
      </x:c>
      <x:c r="C10" s="61" t="n">
        <x:v>-0.4676</x:v>
      </x:c>
      <x:c r="D10" s="62" t="n">
        <x:v>0.7302</x:v>
      </x:c>
      <x:c r="E10" s="61" t="n">
        <x:v>1.0362</x:v>
      </x:c>
    </x:row>
    <x:row r="11" ht="23" customHeight="1">
      <x:c r="A11" s="28" t="str">
        <x:v>میوه</x:v>
      </x:c>
      <x:c r="B11" s="60" t="n">
        <x:v>-1.0583</x:v>
      </x:c>
      <x:c r="C11" s="61" t="n">
        <x:v>-1.053</x:v>
      </x:c>
      <x:c r="D11" s="62" t="n">
        <x:v>1.3137</x:v>
      </x:c>
      <x:c r="E11" s="61" t="n">
        <x:v>1.339</x:v>
      </x:c>
    </x:row>
    <x:row r="12" ht="23" customHeight="1">
      <x:c r="A12" s="28" t="str">
        <x:v>سبزیجات و سیب‌زمینی</x:v>
      </x:c>
      <x:c r="B12" s="60" t="n">
        <x:v>-0.4504</x:v>
      </x:c>
      <x:c r="C12" s="61" t="n">
        <x:v>-0.4378</x:v>
      </x:c>
      <x:c r="D12" s="62" t="n">
        <x:v>0.7523</x:v>
      </x:c>
      <x:c r="E12" s="61" t="n">
        <x:v>0.6873</x:v>
      </x:c>
    </x:row>
    <x:row r="13" ht="23" customHeight="1">
      <x:c r="A13" s="28" t="str">
        <x:v>حبوبات</x:v>
      </x:c>
      <x:c r="B13" s="60" t="n">
        <x:v>-0.6936</x:v>
      </x:c>
      <x:c r="C13" s="61" t="n">
        <x:v>-0.7182</x:v>
      </x:c>
      <x:c r="D13" s="62" t="n">
        <x:v>0.9829</x:v>
      </x:c>
      <x:c r="E13" s="61" t="n">
        <x:v>1.2454</x:v>
      </x:c>
    </x:row>
    <x:row r="14" ht="23" customHeight="1">
      <x:c r="A14" s="28" t="str">
        <x:v>مغزها، خشکبار و خرما</x:v>
      </x:c>
      <x:c r="B14" s="60" t="n">
        <x:v>-0.9634</x:v>
      </x:c>
      <x:c r="C14" s="61" t="n">
        <x:v>-0.9749</x:v>
      </x:c>
      <x:c r="D14" s="62" t="n">
        <x:v>2.1994</x:v>
      </x:c>
      <x:c r="E14" s="61" t="n">
        <x:v>1.6423</x:v>
      </x:c>
    </x:row>
    <x:row r="15" ht="23" customHeight="1">
      <x:c r="A15" s="28" t="str">
        <x:v>قند، شیرینی و تنقلات</x:v>
      </x:c>
      <x:c r="B15" s="60" t="n">
        <x:v>-0.5396</x:v>
      </x:c>
      <x:c r="C15" s="61" t="n">
        <x:v>-0.5372</x:v>
      </x:c>
      <x:c r="D15" s="62" t="n">
        <x:v>1.0125</x:v>
      </x:c>
      <x:c r="E15" s="61" t="n">
        <x:v>0.9824</x:v>
      </x:c>
    </x:row>
    <x:row r="16" ht="23" customHeight="1">
      <x:c r="A16" s="28" t="str">
        <x:v>نوشیدنی بدون نوشابه</x:v>
      </x:c>
      <x:c r="B16" s="60" t="n">
        <x:v>-0.8534</x:v>
      </x:c>
      <x:c r="C16" s="61" t="n">
        <x:v>-0.8633</x:v>
      </x:c>
      <x:c r="D16" s="62" t="n">
        <x:v>0.9017</x:v>
      </x:c>
      <x:c r="E16" s="61" t="n">
        <x:v>1.0943</x:v>
      </x:c>
    </x:row>
    <x:row r="17" ht="23" customHeight="1">
      <x:c r="A17" s="28" t="str">
        <x:v>ادویه و چاشنی</x:v>
      </x:c>
      <x:c r="B17" s="60" t="n">
        <x:v>-0.4186</x:v>
      </x:c>
      <x:c r="C17" s="61" t="n">
        <x:v>-0.4155</x:v>
      </x:c>
      <x:c r="D17" s="62" t="n">
        <x:v>0.8366</x:v>
      </x:c>
      <x:c r="E17" s="61" t="n">
        <x:v>0.6775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سال 1392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-1.0737</x:v>
      </x:c>
      <x:c r="C6" s="61" t="n">
        <x:v>-1.0705</x:v>
      </x:c>
      <x:c r="D6" s="62" t="n">
        <x:v>1.5787</x:v>
      </x:c>
      <x:c r="E6" s="61" t="n">
        <x:v>1.6236</x:v>
      </x:c>
    </x:row>
    <x:row r="7" ht="23" customHeight="1">
      <x:c r="A7" s="28" t="str">
        <x:v>نان و غلات</x:v>
      </x:c>
      <x:c r="B7" s="60" t="n">
        <x:v>-0.6975</x:v>
      </x:c>
      <x:c r="C7" s="61" t="n">
        <x:v>-0.6661</x:v>
      </x:c>
      <x:c r="D7" s="62" t="n">
        <x:v>0.5722</x:v>
      </x:c>
      <x:c r="E7" s="61" t="n">
        <x:v>0.4757</x:v>
      </x:c>
    </x:row>
    <x:row r="8" ht="23" customHeight="1">
      <x:c r="A8" s="28" t="str">
        <x:v>گوشت</x:v>
      </x:c>
      <x:c r="B8" s="60" t="n">
        <x:v>-0.9093</x:v>
      </x:c>
      <x:c r="C8" s="61" t="n">
        <x:v>-0.9203</x:v>
      </x:c>
      <x:c r="D8" s="62" t="n">
        <x:v>1.2305</x:v>
      </x:c>
      <x:c r="E8" s="61" t="n">
        <x:v>1.2522</x:v>
      </x:c>
    </x:row>
    <x:row r="9" ht="23" customHeight="1">
      <x:c r="A9" s="28" t="str">
        <x:v>لبنیات و تخم‌مرغ</x:v>
      </x:c>
      <x:c r="B9" s="60" t="n">
        <x:v>-0.7908</x:v>
      </x:c>
      <x:c r="C9" s="61" t="n">
        <x:v>-0.7842</x:v>
      </x:c>
      <x:c r="D9" s="62" t="n">
        <x:v>0.8623</x:v>
      </x:c>
      <x:c r="E9" s="61" t="n">
        <x:v>0.8357</x:v>
      </x:c>
    </x:row>
    <x:row r="10" ht="23" customHeight="1">
      <x:c r="A10" s="28" t="str">
        <x:v>روغن و چربی</x:v>
      </x:c>
      <x:c r="B10" s="60" t="n">
        <x:v>-0.4878</x:v>
      </x:c>
      <x:c r="C10" s="61" t="n">
        <x:v>-0.4887</x:v>
      </x:c>
      <x:c r="D10" s="62" t="n">
        <x:v>0.7323</x:v>
      </x:c>
      <x:c r="E10" s="61" t="n">
        <x:v>1.0248</x:v>
      </x:c>
    </x:row>
    <x:row r="11" ht="23" customHeight="1">
      <x:c r="A11" s="28" t="str">
        <x:v>میوه</x:v>
      </x:c>
      <x:c r="B11" s="60" t="n">
        <x:v>-1.0658</x:v>
      </x:c>
      <x:c r="C11" s="61" t="n">
        <x:v>-1.0593</x:v>
      </x:c>
      <x:c r="D11" s="62" t="n">
        <x:v>1.3137</x:v>
      </x:c>
      <x:c r="E11" s="61" t="n">
        <x:v>1.3377</x:v>
      </x:c>
    </x:row>
    <x:row r="12" ht="23" customHeight="1">
      <x:c r="A12" s="28" t="str">
        <x:v>سبزیجات و سیب‌زمینی</x:v>
      </x:c>
      <x:c r="B12" s="60" t="n">
        <x:v>-0.417</x:v>
      </x:c>
      <x:c r="C12" s="61" t="n">
        <x:v>-0.4035</x:v>
      </x:c>
      <x:c r="D12" s="62" t="n">
        <x:v>0.7036</x:v>
      </x:c>
      <x:c r="E12" s="61" t="n">
        <x:v>0.6211</x:v>
      </x:c>
    </x:row>
    <x:row r="13" ht="23" customHeight="1">
      <x:c r="A13" s="28" t="str">
        <x:v>حبوبات</x:v>
      </x:c>
      <x:c r="B13" s="60" t="n">
        <x:v>-0.6823</x:v>
      </x:c>
      <x:c r="C13" s="61" t="n">
        <x:v>-0.7088</x:v>
      </x:c>
      <x:c r="D13" s="62" t="n">
        <x:v>0.9442</x:v>
      </x:c>
      <x:c r="E13" s="61" t="n">
        <x:v>1.2202</x:v>
      </x:c>
    </x:row>
    <x:row r="14" ht="23" customHeight="1">
      <x:c r="A14" s="28" t="str">
        <x:v>مغزها، خشکبار و خرما</x:v>
      </x:c>
      <x:c r="B14" s="60" t="n">
        <x:v>-1.0033</x:v>
      </x:c>
      <x:c r="C14" s="61" t="n">
        <x:v>-1.0109</x:v>
      </x:c>
      <x:c r="D14" s="62" t="n">
        <x:v>2.153</x:v>
      </x:c>
      <x:c r="E14" s="61" t="n">
        <x:v>1.6993</x:v>
      </x:c>
    </x:row>
    <x:row r="15" ht="23" customHeight="1">
      <x:c r="A15" s="28" t="str">
        <x:v>قند، شیرینی و تنقلات</x:v>
      </x:c>
      <x:c r="B15" s="60" t="n">
        <x:v>-0.4813</x:v>
      </x:c>
      <x:c r="C15" s="61" t="n">
        <x:v>-0.4791</x:v>
      </x:c>
      <x:c r="D15" s="62" t="n">
        <x:v>0.9632</x:v>
      </x:c>
      <x:c r="E15" s="61" t="n">
        <x:v>0.9334</x:v>
      </x:c>
    </x:row>
    <x:row r="16" ht="23" customHeight="1">
      <x:c r="A16" s="28" t="str">
        <x:v>نوشیدنی بدون نوشابه</x:v>
      </x:c>
      <x:c r="B16" s="60" t="n">
        <x:v>-0.8298</x:v>
      </x:c>
      <x:c r="C16" s="61" t="n">
        <x:v>-0.8388</x:v>
      </x:c>
      <x:c r="D16" s="62" t="n">
        <x:v>0.8311</x:v>
      </x:c>
      <x:c r="E16" s="61" t="n">
        <x:v>1.0044</x:v>
      </x:c>
    </x:row>
    <x:row r="17" ht="23" customHeight="1">
      <x:c r="A17" s="28" t="str">
        <x:v>ادویه و چاشنی</x:v>
      </x:c>
      <x:c r="B17" s="60" t="n">
        <x:v>-0.3724</x:v>
      </x:c>
      <x:c r="C17" s="61" t="n">
        <x:v>-0.3712</x:v>
      </x:c>
      <x:c r="D17" s="62" t="n">
        <x:v>0.7801</x:v>
      </x:c>
      <x:c r="E17" s="61" t="n">
        <x:v>0.6057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سال 1393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-1.0749</x:v>
      </x:c>
      <x:c r="C6" s="61" t="n">
        <x:v>-1.0725</x:v>
      </x:c>
      <x:c r="D6" s="62" t="n">
        <x:v>1.5817</x:v>
      </x:c>
      <x:c r="E6" s="61" t="n">
        <x:v>1.6301</x:v>
      </x:c>
    </x:row>
    <x:row r="7" ht="23" customHeight="1">
      <x:c r="A7" s="28" t="str">
        <x:v>نان و غلات</x:v>
      </x:c>
      <x:c r="B7" s="60" t="n">
        <x:v>-0.7182</x:v>
      </x:c>
      <x:c r="C7" s="61" t="n">
        <x:v>-0.6892</x:v>
      </x:c>
      <x:c r="D7" s="62" t="n">
        <x:v>0.5895</x:v>
      </x:c>
      <x:c r="E7" s="61" t="n">
        <x:v>0.5003</x:v>
      </x:c>
    </x:row>
    <x:row r="8" ht="23" customHeight="1">
      <x:c r="A8" s="28" t="str">
        <x:v>گوشت</x:v>
      </x:c>
      <x:c r="B8" s="60" t="n">
        <x:v>-0.9101</x:v>
      </x:c>
      <x:c r="C8" s="61" t="n">
        <x:v>-0.9211</x:v>
      </x:c>
      <x:c r="D8" s="62" t="n">
        <x:v>1.2325</x:v>
      </x:c>
      <x:c r="E8" s="61" t="n">
        <x:v>1.254</x:v>
      </x:c>
    </x:row>
    <x:row r="9" ht="23" customHeight="1">
      <x:c r="A9" s="28" t="str">
        <x:v>لبنیات و تخم‌مرغ</x:v>
      </x:c>
      <x:c r="B9" s="60" t="n">
        <x:v>-0.793</x:v>
      </x:c>
      <x:c r="C9" s="61" t="n">
        <x:v>-0.7866</x:v>
      </x:c>
      <x:c r="D9" s="62" t="n">
        <x:v>0.8623</x:v>
      </x:c>
      <x:c r="E9" s="61" t="n">
        <x:v>0.836</x:v>
      </x:c>
    </x:row>
    <x:row r="10" ht="23" customHeight="1">
      <x:c r="A10" s="28" t="str">
        <x:v>روغن و چربی</x:v>
      </x:c>
      <x:c r="B10" s="60" t="n">
        <x:v>-0.4478</x:v>
      </x:c>
      <x:c r="C10" s="61" t="n">
        <x:v>-0.4458</x:v>
      </x:c>
      <x:c r="D10" s="62" t="n">
        <x:v>0.7073</x:v>
      </x:c>
      <x:c r="E10" s="61" t="n">
        <x:v>1.0256</x:v>
      </x:c>
    </x:row>
    <x:row r="11" ht="23" customHeight="1">
      <x:c r="A11" s="28" t="str">
        <x:v>میوه</x:v>
      </x:c>
      <x:c r="B11" s="60" t="n">
        <x:v>-1.05</x:v>
      </x:c>
      <x:c r="C11" s="61" t="n">
        <x:v>-1.0445</x:v>
      </x:c>
      <x:c r="D11" s="62" t="n">
        <x:v>1.274</x:v>
      </x:c>
      <x:c r="E11" s="61" t="n">
        <x:v>1.3027</x:v>
      </x:c>
    </x:row>
    <x:row r="12" ht="23" customHeight="1">
      <x:c r="A12" s="28" t="str">
        <x:v>سبزیجات و سیب‌زمینی</x:v>
      </x:c>
      <x:c r="B12" s="60" t="n">
        <x:v>-0.4148</x:v>
      </x:c>
      <x:c r="C12" s="61" t="n">
        <x:v>-0.4022</x:v>
      </x:c>
      <x:c r="D12" s="62" t="n">
        <x:v>0.7235</x:v>
      </x:c>
      <x:c r="E12" s="61" t="n">
        <x:v>0.6509</x:v>
      </x:c>
    </x:row>
    <x:row r="13" ht="23" customHeight="1">
      <x:c r="A13" s="28" t="str">
        <x:v>حبوبات</x:v>
      </x:c>
      <x:c r="B13" s="60" t="n">
        <x:v>-0.6777</x:v>
      </x:c>
      <x:c r="C13" s="61" t="n">
        <x:v>-0.703</x:v>
      </x:c>
      <x:c r="D13" s="62" t="n">
        <x:v>0.9246</x:v>
      </x:c>
      <x:c r="E13" s="61" t="n">
        <x:v>1.1922</x:v>
      </x:c>
    </x:row>
    <x:row r="14" ht="23" customHeight="1">
      <x:c r="A14" s="28" t="str">
        <x:v>مغزها، خشکبار و خرما</x:v>
      </x:c>
      <x:c r="B14" s="60" t="n">
        <x:v>-0.99</x:v>
      </x:c>
      <x:c r="C14" s="61" t="n">
        <x:v>-0.9969</x:v>
      </x:c>
      <x:c r="D14" s="62" t="n">
        <x:v>2.1219</x:v>
      </x:c>
      <x:c r="E14" s="61" t="n">
        <x:v>1.6443</x:v>
      </x:c>
    </x:row>
    <x:row r="15" ht="23" customHeight="1">
      <x:c r="A15" s="28" t="str">
        <x:v>قند، شیرینی و تنقلات</x:v>
      </x:c>
      <x:c r="B15" s="60" t="n">
        <x:v>-0.4931</x:v>
      </x:c>
      <x:c r="C15" s="61" t="n">
        <x:v>-0.4905</x:v>
      </x:c>
      <x:c r="D15" s="62" t="n">
        <x:v>0.9664</x:v>
      </x:c>
      <x:c r="E15" s="61" t="n">
        <x:v>0.9323</x:v>
      </x:c>
    </x:row>
    <x:row r="16" ht="23" customHeight="1">
      <x:c r="A16" s="28" t="str">
        <x:v>نوشیدنی بدون نوشابه</x:v>
      </x:c>
      <x:c r="B16" s="60" t="n">
        <x:v>-0.8301</x:v>
      </x:c>
      <x:c r="C16" s="61" t="n">
        <x:v>-0.8393</x:v>
      </x:c>
      <x:c r="D16" s="62" t="n">
        <x:v>0.8379</x:v>
      </x:c>
      <x:c r="E16" s="61" t="n">
        <x:v>1.018</x:v>
      </x:c>
    </x:row>
    <x:row r="17" ht="23" customHeight="1">
      <x:c r="A17" s="28" t="str">
        <x:v>ادویه و چاشنی</x:v>
      </x:c>
      <x:c r="B17" s="60" t="n">
        <x:v>-0.3922</x:v>
      </x:c>
      <x:c r="C17" s="61" t="n">
        <x:v>-0.3899</x:v>
      </x:c>
      <x:c r="D17" s="62" t="n">
        <x:v>0.7943</x:v>
      </x:c>
      <x:c r="E17" s="61" t="n">
        <x:v>0.6265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سال 1394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-1.079</x:v>
      </x:c>
      <x:c r="C6" s="61" t="n">
        <x:v>-1.0772</x:v>
      </x:c>
      <x:c r="D6" s="62" t="n">
        <x:v>1.5628</x:v>
      </x:c>
      <x:c r="E6" s="61" t="n">
        <x:v>1.6079</x:v>
      </x:c>
    </x:row>
    <x:row r="7" ht="23" customHeight="1">
      <x:c r="A7" s="28" t="str">
        <x:v>نان و غلات</x:v>
      </x:c>
      <x:c r="B7" s="60" t="n">
        <x:v>-0.7459</x:v>
      </x:c>
      <x:c r="C7" s="61" t="n">
        <x:v>-0.72</x:v>
      </x:c>
      <x:c r="D7" s="62" t="n">
        <x:v>0.6245</x:v>
      </x:c>
      <x:c r="E7" s="61" t="n">
        <x:v>0.5449</x:v>
      </x:c>
    </x:row>
    <x:row r="8" ht="23" customHeight="1">
      <x:c r="A8" s="28" t="str">
        <x:v>گوشت</x:v>
      </x:c>
      <x:c r="B8" s="60" t="n">
        <x:v>-0.9082</x:v>
      </x:c>
      <x:c r="C8" s="61" t="n">
        <x:v>-0.9193</x:v>
      </x:c>
      <x:c r="D8" s="62" t="n">
        <x:v>1.2386</x:v>
      </x:c>
      <x:c r="E8" s="61" t="n">
        <x:v>1.2609</x:v>
      </x:c>
    </x:row>
    <x:row r="9" ht="23" customHeight="1">
      <x:c r="A9" s="28" t="str">
        <x:v>لبنیات و تخم‌مرغ</x:v>
      </x:c>
      <x:c r="B9" s="60" t="n">
        <x:v>-0.7886</x:v>
      </x:c>
      <x:c r="C9" s="61" t="n">
        <x:v>-0.7825</x:v>
      </x:c>
      <x:c r="D9" s="62" t="n">
        <x:v>0.8578</x:v>
      </x:c>
      <x:c r="E9" s="61" t="n">
        <x:v>0.8311</x:v>
      </x:c>
    </x:row>
    <x:row r="10" ht="23" customHeight="1">
      <x:c r="A10" s="28" t="str">
        <x:v>روغن و چربی</x:v>
      </x:c>
      <x:c r="B10" s="60" t="n">
        <x:v>-0.4359</x:v>
      </x:c>
      <x:c r="C10" s="61" t="n">
        <x:v>-0.4319</x:v>
      </x:c>
      <x:c r="D10" s="62" t="n">
        <x:v>0.6748</x:v>
      </x:c>
      <x:c r="E10" s="61" t="n">
        <x:v>1.0063</x:v>
      </x:c>
    </x:row>
    <x:row r="11" ht="23" customHeight="1">
      <x:c r="A11" s="28" t="str">
        <x:v>میوه</x:v>
      </x:c>
      <x:c r="B11" s="60" t="n">
        <x:v>-1.0354</x:v>
      </x:c>
      <x:c r="C11" s="61" t="n">
        <x:v>-1.0301</x:v>
      </x:c>
      <x:c r="D11" s="62" t="n">
        <x:v>1.2393</x:v>
      </x:c>
      <x:c r="E11" s="61" t="n">
        <x:v>1.2728</x:v>
      </x:c>
    </x:row>
    <x:row r="12" ht="23" customHeight="1">
      <x:c r="A12" s="28" t="str">
        <x:v>سبزیجات و سیب‌زمینی</x:v>
      </x:c>
      <x:c r="B12" s="60" t="n">
        <x:v>-0.3446</x:v>
      </x:c>
      <x:c r="C12" s="61" t="n">
        <x:v>-0.3322</x:v>
      </x:c>
      <x:c r="D12" s="62" t="n">
        <x:v>0.6902</x:v>
      </x:c>
      <x:c r="E12" s="61" t="n">
        <x:v>0.6097</x:v>
      </x:c>
    </x:row>
    <x:row r="13" ht="23" customHeight="1">
      <x:c r="A13" s="28" t="str">
        <x:v>حبوبات</x:v>
      </x:c>
      <x:c r="B13" s="60" t="n">
        <x:v>-0.6799</x:v>
      </x:c>
      <x:c r="C13" s="61" t="n">
        <x:v>-0.7046</x:v>
      </x:c>
      <x:c r="D13" s="62" t="n">
        <x:v>0.9134</x:v>
      </x:c>
      <x:c r="E13" s="61" t="n">
        <x:v>1.1719</x:v>
      </x:c>
    </x:row>
    <x:row r="14" ht="23" customHeight="1">
      <x:c r="A14" s="28" t="str">
        <x:v>مغزها، خشکبار و خرما</x:v>
      </x:c>
      <x:c r="B14" s="60" t="n">
        <x:v>-0.9897</x:v>
      </x:c>
      <x:c r="C14" s="61" t="n">
        <x:v>-0.9951</x:v>
      </x:c>
      <x:c r="D14" s="62" t="n">
        <x:v>2.1</x:v>
      </x:c>
      <x:c r="E14" s="61" t="n">
        <x:v>1.6257</x:v>
      </x:c>
    </x:row>
    <x:row r="15" ht="23" customHeight="1">
      <x:c r="A15" s="28" t="str">
        <x:v>قند، شیرینی و تنقلات</x:v>
      </x:c>
      <x:c r="B15" s="60" t="n">
        <x:v>-0.4908</x:v>
      </x:c>
      <x:c r="C15" s="61" t="n">
        <x:v>-0.4884</x:v>
      </x:c>
      <x:c r="D15" s="62" t="n">
        <x:v>0.989</x:v>
      </x:c>
      <x:c r="E15" s="61" t="n">
        <x:v>0.9686</x:v>
      </x:c>
    </x:row>
    <x:row r="16" ht="23" customHeight="1">
      <x:c r="A16" s="28" t="str">
        <x:v>نوشیدنی بدون نوشابه</x:v>
      </x:c>
      <x:c r="B16" s="60" t="n">
        <x:v>-0.8215</x:v>
      </x:c>
      <x:c r="C16" s="61" t="n">
        <x:v>-0.8305</x:v>
      </x:c>
      <x:c r="D16" s="62" t="n">
        <x:v>0.8198</x:v>
      </x:c>
      <x:c r="E16" s="61" t="n">
        <x:v>0.9986</x:v>
      </x:c>
    </x:row>
    <x:row r="17" ht="23" customHeight="1">
      <x:c r="A17" s="28" t="str">
        <x:v>ادویه و چاشنی</x:v>
      </x:c>
      <x:c r="B17" s="60" t="n">
        <x:v>-0.3899</x:v>
      </x:c>
      <x:c r="C17" s="61" t="n">
        <x:v>-0.3876</x:v>
      </x:c>
      <x:c r="D17" s="62" t="n">
        <x:v>0.7971</x:v>
      </x:c>
      <x:c r="E17" s="61" t="n">
        <x:v>0.6283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سال 1395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-1.0782</x:v>
      </x:c>
      <x:c r="C6" s="61" t="n">
        <x:v>-1.0761</x:v>
      </x:c>
      <x:c r="D6" s="62" t="n">
        <x:v>1.5693</x:v>
      </x:c>
      <x:c r="E6" s="61" t="n">
        <x:v>1.6156</x:v>
      </x:c>
    </x:row>
    <x:row r="7" ht="23" customHeight="1">
      <x:c r="A7" s="28" t="str">
        <x:v>نان و غلات</x:v>
      </x:c>
      <x:c r="B7" s="60" t="n">
        <x:v>-0.7401</x:v>
      </x:c>
      <x:c r="C7" s="61" t="n">
        <x:v>-0.7134</x:v>
      </x:c>
      <x:c r="D7" s="62" t="n">
        <x:v>0.61</x:v>
      </x:c>
      <x:c r="E7" s="61" t="n">
        <x:v>0.5287</x:v>
      </x:c>
    </x:row>
    <x:row r="8" ht="23" customHeight="1">
      <x:c r="A8" s="28" t="str">
        <x:v>گوشت</x:v>
      </x:c>
      <x:c r="B8" s="60" t="n">
        <x:v>-0.9072</x:v>
      </x:c>
      <x:c r="C8" s="61" t="n">
        <x:v>-0.9183</x:v>
      </x:c>
      <x:c r="D8" s="62" t="n">
        <x:v>1.2418</x:v>
      </x:c>
      <x:c r="E8" s="61" t="n">
        <x:v>1.264</x:v>
      </x:c>
    </x:row>
    <x:row r="9" ht="23" customHeight="1">
      <x:c r="A9" s="28" t="str">
        <x:v>لبنیات و تخم‌مرغ</x:v>
      </x:c>
      <x:c r="B9" s="60" t="n">
        <x:v>-0.7918</x:v>
      </x:c>
      <x:c r="C9" s="61" t="n">
        <x:v>-0.7856</x:v>
      </x:c>
      <x:c r="D9" s="62" t="n">
        <x:v>0.8591</x:v>
      </x:c>
      <x:c r="E9" s="61" t="n">
        <x:v>0.8327</x:v>
      </x:c>
    </x:row>
    <x:row r="10" ht="23" customHeight="1">
      <x:c r="A10" s="28" t="str">
        <x:v>روغن و چربی</x:v>
      </x:c>
      <x:c r="B10" s="60" t="n">
        <x:v>-0.4045</x:v>
      </x:c>
      <x:c r="C10" s="61" t="n">
        <x:v>-0.3983</x:v>
      </x:c>
      <x:c r="D10" s="62" t="n">
        <x:v>0.6605</x:v>
      </x:c>
      <x:c r="E10" s="61" t="n">
        <x:v>1.0109</x:v>
      </x:c>
    </x:row>
    <x:row r="11" ht="23" customHeight="1">
      <x:c r="A11" s="28" t="str">
        <x:v>میوه</x:v>
      </x:c>
      <x:c r="B11" s="60" t="n">
        <x:v>-1.0293</x:v>
      </x:c>
      <x:c r="C11" s="61" t="n">
        <x:v>-1.0241</x:v>
      </x:c>
      <x:c r="D11" s="62" t="n">
        <x:v>1.2239</x:v>
      </x:c>
      <x:c r="E11" s="61" t="n">
        <x:v>1.2588</x:v>
      </x:c>
    </x:row>
    <x:row r="12" ht="23" customHeight="1">
      <x:c r="A12" s="28" t="str">
        <x:v>سبزیجات و سیب‌زمینی</x:v>
      </x:c>
      <x:c r="B12" s="60" t="n">
        <x:v>-0.3749</x:v>
      </x:c>
      <x:c r="C12" s="61" t="n">
        <x:v>-0.3633</x:v>
      </x:c>
      <x:c r="D12" s="62" t="n">
        <x:v>0.7161</x:v>
      </x:c>
      <x:c r="E12" s="61" t="n">
        <x:v>0.6449</x:v>
      </x:c>
    </x:row>
    <x:row r="13" ht="23" customHeight="1">
      <x:c r="A13" s="28" t="str">
        <x:v>حبوبات</x:v>
      </x:c>
      <x:c r="B13" s="60" t="n">
        <x:v>-0.7032</x:v>
      </x:c>
      <x:c r="C13" s="61" t="n">
        <x:v>-0.7269</x:v>
      </x:c>
      <x:c r="D13" s="62" t="n">
        <x:v>0.9391</x:v>
      </x:c>
      <x:c r="E13" s="61" t="n">
        <x:v>1.1847</x:v>
      </x:c>
    </x:row>
    <x:row r="14" ht="23" customHeight="1">
      <x:c r="A14" s="28" t="str">
        <x:v>مغزها، خشکبار و خرما</x:v>
      </x:c>
      <x:c r="B14" s="60" t="n">
        <x:v>-0.9747</x:v>
      </x:c>
      <x:c r="C14" s="61" t="n">
        <x:v>-0.981</x:v>
      </x:c>
      <x:c r="D14" s="62" t="n">
        <x:v>2.074</x:v>
      </x:c>
      <x:c r="E14" s="61" t="n">
        <x:v>1.5737</x:v>
      </x:c>
    </x:row>
    <x:row r="15" ht="23" customHeight="1">
      <x:c r="A15" s="28" t="str">
        <x:v>قند، شیرینی و تنقلات</x:v>
      </x:c>
      <x:c r="B15" s="60" t="n">
        <x:v>-0.5182</x:v>
      </x:c>
      <x:c r="C15" s="61" t="n">
        <x:v>-0.5158</x:v>
      </x:c>
      <x:c r="D15" s="62" t="n">
        <x:v>0.9923</x:v>
      </x:c>
      <x:c r="E15" s="61" t="n">
        <x:v>0.971</x:v>
      </x:c>
    </x:row>
    <x:row r="16" ht="23" customHeight="1">
      <x:c r="A16" s="28" t="str">
        <x:v>نوشیدنی بدون نوشابه</x:v>
      </x:c>
      <x:c r="B16" s="60" t="n">
        <x:v>-0.8207</x:v>
      </x:c>
      <x:c r="C16" s="61" t="n">
        <x:v>-0.8296</x:v>
      </x:c>
      <x:c r="D16" s="62" t="n">
        <x:v>0.8254</x:v>
      </x:c>
      <x:c r="E16" s="61" t="n">
        <x:v>1.0114</x:v>
      </x:c>
    </x:row>
    <x:row r="17" ht="23" customHeight="1">
      <x:c r="A17" s="28" t="str">
        <x:v>ادویه و چاشنی</x:v>
      </x:c>
      <x:c r="B17" s="60" t="n">
        <x:v>-0.3868</x:v>
      </x:c>
      <x:c r="C17" s="61" t="n">
        <x:v>-0.385</x:v>
      </x:c>
      <x:c r="D17" s="62" t="n">
        <x:v>0.8004</x:v>
      </x:c>
      <x:c r="E17" s="61" t="n">
        <x:v>0.6303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سال 1396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-1.0774</x:v>
      </x:c>
      <x:c r="C6" s="61" t="n">
        <x:v>-1.0754</x:v>
      </x:c>
      <x:c r="D6" s="62" t="n">
        <x:v>1.5724</x:v>
      </x:c>
      <x:c r="E6" s="61" t="n">
        <x:v>1.6195</x:v>
      </x:c>
    </x:row>
    <x:row r="7" ht="23" customHeight="1">
      <x:c r="A7" s="28" t="str">
        <x:v>نان و غلات</x:v>
      </x:c>
      <x:c r="B7" s="60" t="n">
        <x:v>-0.7188</x:v>
      </x:c>
      <x:c r="C7" s="61" t="n">
        <x:v>-0.6892</x:v>
      </x:c>
      <x:c r="D7" s="62" t="n">
        <x:v>0.5722</x:v>
      </x:c>
      <x:c r="E7" s="61" t="n">
        <x:v>0.4814</x:v>
      </x:c>
    </x:row>
    <x:row r="8" ht="23" customHeight="1">
      <x:c r="A8" s="28" t="str">
        <x:v>گوشت</x:v>
      </x:c>
      <x:c r="B8" s="60" t="n">
        <x:v>-0.9136</x:v>
      </x:c>
      <x:c r="C8" s="61" t="n">
        <x:v>-0.9244</x:v>
      </x:c>
      <x:c r="D8" s="62" t="n">
        <x:v>1.2288</x:v>
      </x:c>
      <x:c r="E8" s="61" t="n">
        <x:v>1.2492</x:v>
      </x:c>
    </x:row>
    <x:row r="9" ht="23" customHeight="1">
      <x:c r="A9" s="28" t="str">
        <x:v>لبنیات و تخم‌مرغ</x:v>
      </x:c>
      <x:c r="B9" s="60" t="n">
        <x:v>-0.7897</x:v>
      </x:c>
      <x:c r="C9" s="61" t="n">
        <x:v>-0.7828</x:v>
      </x:c>
      <x:c r="D9" s="62" t="n">
        <x:v>0.8579</x:v>
      </x:c>
      <x:c r="E9" s="61" t="n">
        <x:v>0.8308</x:v>
      </x:c>
    </x:row>
    <x:row r="10" ht="23" customHeight="1">
      <x:c r="A10" s="28" t="str">
        <x:v>روغن و چربی</x:v>
      </x:c>
      <x:c r="B10" s="60" t="n">
        <x:v>-0.385</x:v>
      </x:c>
      <x:c r="C10" s="61" t="n">
        <x:v>-0.3792</x:v>
      </x:c>
      <x:c r="D10" s="62" t="n">
        <x:v>0.6493</x:v>
      </x:c>
      <x:c r="E10" s="61" t="n">
        <x:v>1.0118</x:v>
      </x:c>
    </x:row>
    <x:row r="11" ht="23" customHeight="1">
      <x:c r="A11" s="28" t="str">
        <x:v>میوه</x:v>
      </x:c>
      <x:c r="B11" s="60" t="n">
        <x:v>-1.0188</x:v>
      </x:c>
      <x:c r="C11" s="61" t="n">
        <x:v>-1.0137</x:v>
      </x:c>
      <x:c r="D11" s="62" t="n">
        <x:v>1.2018</x:v>
      </x:c>
      <x:c r="E11" s="61" t="n">
        <x:v>1.242</x:v>
      </x:c>
    </x:row>
    <x:row r="12" ht="23" customHeight="1">
      <x:c r="A12" s="28" t="str">
        <x:v>سبزیجات و سیب‌زمینی</x:v>
      </x:c>
      <x:c r="B12" s="60" t="n">
        <x:v>-0.4153</x:v>
      </x:c>
      <x:c r="C12" s="61" t="n">
        <x:v>-0.4024</x:v>
      </x:c>
      <x:c r="D12" s="62" t="n">
        <x:v>0.7374</x:v>
      </x:c>
      <x:c r="E12" s="61" t="n">
        <x:v>0.671</x:v>
      </x:c>
    </x:row>
    <x:row r="13" ht="23" customHeight="1">
      <x:c r="A13" s="28" t="str">
        <x:v>حبوبات</x:v>
      </x:c>
      <x:c r="B13" s="60" t="n">
        <x:v>-0.7045</x:v>
      </x:c>
      <x:c r="C13" s="61" t="n">
        <x:v>-0.7284</x:v>
      </x:c>
      <x:c r="D13" s="62" t="n">
        <x:v>0.9392</x:v>
      </x:c>
      <x:c r="E13" s="61" t="n">
        <x:v>1.1841</x:v>
      </x:c>
    </x:row>
    <x:row r="14" ht="23" customHeight="1">
      <x:c r="A14" s="28" t="str">
        <x:v>مغزها، خشکبار و خرما</x:v>
      </x:c>
      <x:c r="B14" s="60" t="n">
        <x:v>-0.9642</x:v>
      </x:c>
      <x:c r="C14" s="61" t="n">
        <x:v>-0.971</x:v>
      </x:c>
      <x:c r="D14" s="62" t="n">
        <x:v>2.0386</x:v>
      </x:c>
      <x:c r="E14" s="61" t="n">
        <x:v>1.5255</x:v>
      </x:c>
    </x:row>
    <x:row r="15" ht="23" customHeight="1">
      <x:c r="A15" s="28" t="str">
        <x:v>قند، شیرینی و تنقلات</x:v>
      </x:c>
      <x:c r="B15" s="60" t="n">
        <x:v>-0.5184</x:v>
      </x:c>
      <x:c r="C15" s="61" t="n">
        <x:v>-0.5168</x:v>
      </x:c>
      <x:c r="D15" s="62" t="n">
        <x:v>1.0015</x:v>
      </x:c>
      <x:c r="E15" s="61" t="n">
        <x:v>0.9885</x:v>
      </x:c>
    </x:row>
    <x:row r="16" ht="23" customHeight="1">
      <x:c r="A16" s="28" t="str">
        <x:v>نوشیدنی بدون نوشابه</x:v>
      </x:c>
      <x:c r="B16" s="60" t="n">
        <x:v>-0.8095</x:v>
      </x:c>
      <x:c r="C16" s="61" t="n">
        <x:v>-0.819</x:v>
      </x:c>
      <x:c r="D16" s="62" t="n">
        <x:v>0.8052</x:v>
      </x:c>
      <x:c r="E16" s="61" t="n">
        <x:v>0.9951</x:v>
      </x:c>
    </x:row>
    <x:row r="17" ht="23" customHeight="1">
      <x:c r="A17" s="28" t="str">
        <x:v>ادویه و چاشنی</x:v>
      </x:c>
      <x:c r="B17" s="60" t="n">
        <x:v>-0.3633</x:v>
      </x:c>
      <x:c r="C17" s="61" t="n">
        <x:v>-0.3616</x:v>
      </x:c>
      <x:c r="D17" s="62" t="n">
        <x:v>0.7908</x:v>
      </x:c>
      <x:c r="E17" s="61" t="n">
        <x:v>0.6117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سال 1397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-1.0795</x:v>
      </x:c>
      <x:c r="C6" s="61" t="n">
        <x:v>-1.0784</x:v>
      </x:c>
      <x:c r="D6" s="62" t="n">
        <x:v>1.571</x:v>
      </x:c>
      <x:c r="E6" s="61" t="n">
        <x:v>1.6234</x:v>
      </x:c>
    </x:row>
    <x:row r="7" ht="23" customHeight="1">
      <x:c r="A7" s="28" t="str">
        <x:v>نان و غلات</x:v>
      </x:c>
      <x:c r="B7" s="60" t="n">
        <x:v>-0.7023</x:v>
      </x:c>
      <x:c r="C7" s="61" t="n">
        <x:v>-0.6741</x:v>
      </x:c>
      <x:c r="D7" s="62" t="n">
        <x:v>0.5086</x:v>
      </x:c>
      <x:c r="E7" s="61" t="n">
        <x:v>0.4153</x:v>
      </x:c>
    </x:row>
    <x:row r="8" ht="23" customHeight="1">
      <x:c r="A8" s="28" t="str">
        <x:v>گوشت</x:v>
      </x:c>
      <x:c r="B8" s="60" t="n">
        <x:v>-0.9141</x:v>
      </x:c>
      <x:c r="C8" s="61" t="n">
        <x:v>-0.9247</x:v>
      </x:c>
      <x:c r="D8" s="62" t="n">
        <x:v>1.2484</x:v>
      </x:c>
      <x:c r="E8" s="61" t="n">
        <x:v>1.2717</x:v>
      </x:c>
    </x:row>
    <x:row r="9" ht="23" customHeight="1">
      <x:c r="A9" s="28" t="str">
        <x:v>لبنیات و تخم‌مرغ</x:v>
      </x:c>
      <x:c r="B9" s="60" t="n">
        <x:v>-0.7906</x:v>
      </x:c>
      <x:c r="C9" s="61" t="n">
        <x:v>-0.7848</x:v>
      </x:c>
      <x:c r="D9" s="62" t="n">
        <x:v>0.8514</x:v>
      </x:c>
      <x:c r="E9" s="61" t="n">
        <x:v>0.8262</x:v>
      </x:c>
    </x:row>
    <x:row r="10" ht="23" customHeight="1">
      <x:c r="A10" s="28" t="str">
        <x:v>روغن و چربی</x:v>
      </x:c>
      <x:c r="B10" s="60" t="n">
        <x:v>-0.438</x:v>
      </x:c>
      <x:c r="C10" s="61" t="n">
        <x:v>-0.4327</x:v>
      </x:c>
      <x:c r="D10" s="62" t="n">
        <x:v>0.6707</x:v>
      </x:c>
      <x:c r="E10" s="61" t="n">
        <x:v>1.0034</x:v>
      </x:c>
    </x:row>
    <x:row r="11" ht="23" customHeight="1">
      <x:c r="A11" s="28" t="str">
        <x:v>میوه</x:v>
      </x:c>
      <x:c r="B11" s="60" t="n">
        <x:v>-1.0706</x:v>
      </x:c>
      <x:c r="C11" s="61" t="n">
        <x:v>-1.0648</x:v>
      </x:c>
      <x:c r="D11" s="62" t="n">
        <x:v>1.3419</x:v>
      </x:c>
      <x:c r="E11" s="61" t="n">
        <x:v>1.363</x:v>
      </x:c>
    </x:row>
    <x:row r="12" ht="23" customHeight="1">
      <x:c r="A12" s="28" t="str">
        <x:v>سبزیجات و سیب‌زمینی</x:v>
      </x:c>
      <x:c r="B12" s="60" t="n">
        <x:v>-0.454</x:v>
      </x:c>
      <x:c r="C12" s="61" t="n">
        <x:v>-0.4436</x:v>
      </x:c>
      <x:c r="D12" s="62" t="n">
        <x:v>0.7545</x:v>
      </x:c>
      <x:c r="E12" s="61" t="n">
        <x:v>0.692</x:v>
      </x:c>
    </x:row>
    <x:row r="13" ht="23" customHeight="1">
      <x:c r="A13" s="28" t="str">
        <x:v>حبوبات</x:v>
      </x:c>
      <x:c r="B13" s="60" t="n">
        <x:v>-0.6822</x:v>
      </x:c>
      <x:c r="C13" s="61" t="n">
        <x:v>-0.708</x:v>
      </x:c>
      <x:c r="D13" s="62" t="n">
        <x:v>0.9624</x:v>
      </x:c>
      <x:c r="E13" s="61" t="n">
        <x:v>1.2291</x:v>
      </x:c>
    </x:row>
    <x:row r="14" ht="23" customHeight="1">
      <x:c r="A14" s="28" t="str">
        <x:v>مغزها، خشکبار و خرما</x:v>
      </x:c>
      <x:c r="B14" s="60" t="n">
        <x:v>-0.9628</x:v>
      </x:c>
      <x:c r="C14" s="61" t="n">
        <x:v>-0.9749</x:v>
      </x:c>
      <x:c r="D14" s="62" t="n">
        <x:v>2.1644</x:v>
      </x:c>
      <x:c r="E14" s="61" t="n">
        <x:v>1.6175</x:v>
      </x:c>
    </x:row>
    <x:row r="15" ht="23" customHeight="1">
      <x:c r="A15" s="28" t="str">
        <x:v>قند، شیرینی و تنقلات</x:v>
      </x:c>
      <x:c r="B15" s="60" t="n">
        <x:v>-0.5249</x:v>
      </x:c>
      <x:c r="C15" s="61" t="n">
        <x:v>-0.5229</x:v>
      </x:c>
      <x:c r="D15" s="62" t="n">
        <x:v>1.0185</x:v>
      </x:c>
      <x:c r="E15" s="61" t="n">
        <x:v>0.9978</x:v>
      </x:c>
    </x:row>
    <x:row r="16" ht="23" customHeight="1">
      <x:c r="A16" s="28" t="str">
        <x:v>نوشیدنی بدون نوشابه</x:v>
      </x:c>
      <x:c r="B16" s="60" t="n">
        <x:v>-0.8421</x:v>
      </x:c>
      <x:c r="C16" s="61" t="n">
        <x:v>-0.8517</x:v>
      </x:c>
      <x:c r="D16" s="62" t="n">
        <x:v>0.8776</x:v>
      </x:c>
      <x:c r="E16" s="61" t="n">
        <x:v>1.0698</x:v>
      </x:c>
    </x:row>
    <x:row r="17" ht="23" customHeight="1">
      <x:c r="A17" s="28" t="str">
        <x:v>ادویه و چاشنی</x:v>
      </x:c>
      <x:c r="B17" s="60" t="n">
        <x:v>-0.4883</x:v>
      </x:c>
      <x:c r="C17" s="61" t="n">
        <x:v>-0.4871</x:v>
      </x:c>
      <x:c r="D17" s="62" t="n">
        <x:v>0.8551</x:v>
      </x:c>
      <x:c r="E17" s="61" t="n">
        <x:v>0.7247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سال 1398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-1.0815</x:v>
      </x:c>
      <x:c r="C6" s="61" t="n">
        <x:v>-1.0806</x:v>
      </x:c>
      <x:c r="D6" s="62" t="n">
        <x:v>1.5526</x:v>
      </x:c>
      <x:c r="E6" s="61" t="n">
        <x:v>1.6033</x:v>
      </x:c>
    </x:row>
    <x:row r="7" ht="23" customHeight="1">
      <x:c r="A7" s="28" t="str">
        <x:v>نان و غلات</x:v>
      </x:c>
      <x:c r="B7" s="60" t="n">
        <x:v>-0.661</x:v>
      </x:c>
      <x:c r="C7" s="61" t="n">
        <x:v>-0.6324</x:v>
      </x:c>
      <x:c r="D7" s="62" t="n">
        <x:v>0.3879</x:v>
      </x:c>
      <x:c r="E7" s="61" t="n">
        <x:v>0.2816</x:v>
      </x:c>
    </x:row>
    <x:row r="8" ht="23" customHeight="1">
      <x:c r="A8" s="28" t="str">
        <x:v>گوشت</x:v>
      </x:c>
      <x:c r="B8" s="60" t="n">
        <x:v>-0.9213</x:v>
      </x:c>
      <x:c r="C8" s="61" t="n">
        <x:v>-0.9321</x:v>
      </x:c>
      <x:c r="D8" s="62" t="n">
        <x:v>1.2483</x:v>
      </x:c>
      <x:c r="E8" s="61" t="n">
        <x:v>1.2708</x:v>
      </x:c>
    </x:row>
    <x:row r="9" ht="23" customHeight="1">
      <x:c r="A9" s="28" t="str">
        <x:v>لبنیات و تخم‌مرغ</x:v>
      </x:c>
      <x:c r="B9" s="60" t="n">
        <x:v>-0.7824</x:v>
      </x:c>
      <x:c r="C9" s="61" t="n">
        <x:v>-0.7772</x:v>
      </x:c>
      <x:c r="D9" s="62" t="n">
        <x:v>0.8404</x:v>
      </x:c>
      <x:c r="E9" s="61" t="n">
        <x:v>0.8149</x:v>
      </x:c>
    </x:row>
    <x:row r="10" ht="23" customHeight="1">
      <x:c r="A10" s="28" t="str">
        <x:v>روغن و چربی</x:v>
      </x:c>
      <x:c r="B10" s="60" t="n">
        <x:v>-0.4459</x:v>
      </x:c>
      <x:c r="C10" s="61" t="n">
        <x:v>-0.4392</x:v>
      </x:c>
      <x:c r="D10" s="62" t="n">
        <x:v>0.685</x:v>
      </x:c>
      <x:c r="E10" s="61" t="n">
        <x:v>1.012</x:v>
      </x:c>
    </x:row>
    <x:row r="11" ht="23" customHeight="1">
      <x:c r="A11" s="28" t="str">
        <x:v>میوه</x:v>
      </x:c>
      <x:c r="B11" s="60" t="n">
        <x:v>-1.0689</x:v>
      </x:c>
      <x:c r="C11" s="61" t="n">
        <x:v>-1.0637</x:v>
      </x:c>
      <x:c r="D11" s="62" t="n">
        <x:v>1.3375</x:v>
      </x:c>
      <x:c r="E11" s="61" t="n">
        <x:v>1.3564</x:v>
      </x:c>
    </x:row>
    <x:row r="12" ht="23" customHeight="1">
      <x:c r="A12" s="28" t="str">
        <x:v>سبزیجات و سیب‌زمینی</x:v>
      </x:c>
      <x:c r="B12" s="60" t="n">
        <x:v>-0.4998</x:v>
      </x:c>
      <x:c r="C12" s="61" t="n">
        <x:v>-0.4906</x:v>
      </x:c>
      <x:c r="D12" s="62" t="n">
        <x:v>0.7784</x:v>
      </x:c>
      <x:c r="E12" s="61" t="n">
        <x:v>0.7218</x:v>
      </x:c>
    </x:row>
    <x:row r="13" ht="23" customHeight="1">
      <x:c r="A13" s="28" t="str">
        <x:v>حبوبات</x:v>
      </x:c>
      <x:c r="B13" s="60" t="n">
        <x:v>-0.6743</x:v>
      </x:c>
      <x:c r="C13" s="61" t="n">
        <x:v>-0.6986</x:v>
      </x:c>
      <x:c r="D13" s="62" t="n">
        <x:v>0.9846</x:v>
      </x:c>
      <x:c r="E13" s="61" t="n">
        <x:v>1.259</x:v>
      </x:c>
    </x:row>
    <x:row r="14" ht="23" customHeight="1">
      <x:c r="A14" s="28" t="str">
        <x:v>مغزها، خشکبار و خرما</x:v>
      </x:c>
      <x:c r="B14" s="60" t="n">
        <x:v>-0.9724</x:v>
      </x:c>
      <x:c r="C14" s="61" t="n">
        <x:v>-0.9902</x:v>
      </x:c>
      <x:c r="D14" s="62" t="n">
        <x:v>2.3249</x:v>
      </x:c>
      <x:c r="E14" s="61" t="n">
        <x:v>1.7607</x:v>
      </x:c>
    </x:row>
    <x:row r="15" ht="23" customHeight="1">
      <x:c r="A15" s="28" t="str">
        <x:v>قند، شیرینی و تنقلات</x:v>
      </x:c>
      <x:c r="B15" s="60" t="n">
        <x:v>-0.5557</x:v>
      </x:c>
      <x:c r="C15" s="61" t="n">
        <x:v>-0.5521</x:v>
      </x:c>
      <x:c r="D15" s="62" t="n">
        <x:v>1.0234</x:v>
      </x:c>
      <x:c r="E15" s="61" t="n">
        <x:v>0.9926</x:v>
      </x:c>
    </x:row>
    <x:row r="16" ht="23" customHeight="1">
      <x:c r="A16" s="28" t="str">
        <x:v>نوشیدنی بدون نوشابه</x:v>
      </x:c>
      <x:c r="B16" s="60" t="n">
        <x:v>-0.8839</x:v>
      </x:c>
      <x:c r="C16" s="61" t="n">
        <x:v>-0.8933</x:v>
      </x:c>
      <x:c r="D16" s="62" t="n">
        <x:v>0.9608</x:v>
      </x:c>
      <x:c r="E16" s="61" t="n">
        <x:v>1.1478</x:v>
      </x:c>
    </x:row>
    <x:row r="17" ht="23" customHeight="1">
      <x:c r="A17" s="28" t="str">
        <x:v>ادویه و چاشنی</x:v>
      </x:c>
      <x:c r="B17" s="60" t="n">
        <x:v>-0.5033</x:v>
      </x:c>
      <x:c r="C17" s="61" t="n">
        <x:v>-0.5023</x:v>
      </x:c>
      <x:c r="D17" s="62" t="n">
        <x:v>0.8754</x:v>
      </x:c>
      <x:c r="E17" s="61" t="n">
        <x:v>0.7541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سال 1399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-1.081</x:v>
      </x:c>
      <x:c r="C6" s="61" t="n">
        <x:v>-1.0798</x:v>
      </x:c>
      <x:c r="D6" s="62" t="n">
        <x:v>1.5639</x:v>
      </x:c>
      <x:c r="E6" s="61" t="n">
        <x:v>1.6179</x:v>
      </x:c>
    </x:row>
    <x:row r="7" ht="23" customHeight="1">
      <x:c r="A7" s="28" t="str">
        <x:v>نان و غلات</x:v>
      </x:c>
      <x:c r="B7" s="60" t="n">
        <x:v>-0.6591</x:v>
      </x:c>
      <x:c r="C7" s="61" t="n">
        <x:v>-0.6268</x:v>
      </x:c>
      <x:c r="D7" s="62" t="n">
        <x:v>0.3793</x:v>
      </x:c>
      <x:c r="E7" s="61" t="n">
        <x:v>0.271</x:v>
      </x:c>
    </x:row>
    <x:row r="8" ht="23" customHeight="1">
      <x:c r="A8" s="28" t="str">
        <x:v>گوشت</x:v>
      </x:c>
      <x:c r="B8" s="60" t="n">
        <x:v>-0.9304</x:v>
      </x:c>
      <x:c r="C8" s="61" t="n">
        <x:v>-0.9408</x:v>
      </x:c>
      <x:c r="D8" s="62" t="n">
        <x:v>1.2368</x:v>
      </x:c>
      <x:c r="E8" s="61" t="n">
        <x:v>1.2577</x:v>
      </x:c>
    </x:row>
    <x:row r="9" ht="23" customHeight="1">
      <x:c r="A9" s="28" t="str">
        <x:v>لبنیات و تخم‌مرغ</x:v>
      </x:c>
      <x:c r="B9" s="60" t="n">
        <x:v>-0.7969</x:v>
      </x:c>
      <x:c r="C9" s="61" t="n">
        <x:v>-0.7912</x:v>
      </x:c>
      <x:c r="D9" s="62" t="n">
        <x:v>0.8503</x:v>
      </x:c>
      <x:c r="E9" s="61" t="n">
        <x:v>0.8264</x:v>
      </x:c>
    </x:row>
    <x:row r="10" ht="23" customHeight="1">
      <x:c r="A10" s="28" t="str">
        <x:v>روغن و چربی</x:v>
      </x:c>
      <x:c r="B10" s="60" t="n">
        <x:v>-0.4235</x:v>
      </x:c>
      <x:c r="C10" s="61" t="n">
        <x:v>-0.4166</x:v>
      </x:c>
      <x:c r="D10" s="62" t="n">
        <x:v>0.685</x:v>
      </x:c>
      <x:c r="E10" s="61" t="n">
        <x:v>1.0236</x:v>
      </x:c>
    </x:row>
    <x:row r="11" ht="23" customHeight="1">
      <x:c r="A11" s="28" t="str">
        <x:v>میوه</x:v>
      </x:c>
      <x:c r="B11" s="60" t="n">
        <x:v>-1.1068</x:v>
      </x:c>
      <x:c r="C11" s="61" t="n">
        <x:v>-1.101</x:v>
      </x:c>
      <x:c r="D11" s="62" t="n">
        <x:v>1.4387</x:v>
      </x:c>
      <x:c r="E11" s="61" t="n">
        <x:v>1.4455</x:v>
      </x:c>
    </x:row>
    <x:row r="12" ht="23" customHeight="1">
      <x:c r="A12" s="28" t="str">
        <x:v>سبزیجات و سیب‌زمینی</x:v>
      </x:c>
      <x:c r="B12" s="60" t="n">
        <x:v>-0.4596</x:v>
      </x:c>
      <x:c r="C12" s="61" t="n">
        <x:v>-0.4489</x:v>
      </x:c>
      <x:c r="D12" s="62" t="n">
        <x:v>0.7577</x:v>
      </x:c>
      <x:c r="E12" s="61" t="n">
        <x:v>0.6943</x:v>
      </x:c>
    </x:row>
    <x:row r="13" ht="23" customHeight="1">
      <x:c r="A13" s="28" t="str">
        <x:v>حبوبات</x:v>
      </x:c>
      <x:c r="B13" s="60" t="n">
        <x:v>-0.7137</x:v>
      </x:c>
      <x:c r="C13" s="61" t="n">
        <x:v>-0.7372</x:v>
      </x:c>
      <x:c r="D13" s="62" t="n">
        <x:v>1.0215</x:v>
      </x:c>
      <x:c r="E13" s="61" t="n">
        <x:v>1.2765</x:v>
      </x:c>
    </x:row>
    <x:row r="14" ht="23" customHeight="1">
      <x:c r="A14" s="28" t="str">
        <x:v>مغزها، خشکبار و خرما</x:v>
      </x:c>
      <x:c r="B14" s="60" t="n">
        <x:v>-0.9266</x:v>
      </x:c>
      <x:c r="C14" s="61" t="n">
        <x:v>-0.9497</x:v>
      </x:c>
      <x:c r="D14" s="62" t="n">
        <x:v>2.3122</x:v>
      </x:c>
      <x:c r="E14" s="61" t="n">
        <x:v>1.6512</x:v>
      </x:c>
    </x:row>
    <x:row r="15" ht="23" customHeight="1">
      <x:c r="A15" s="28" t="str">
        <x:v>قند، شیرینی و تنقلات</x:v>
      </x:c>
      <x:c r="B15" s="60" t="n">
        <x:v>-0.5537</x:v>
      </x:c>
      <x:c r="C15" s="61" t="n">
        <x:v>-0.5498</x:v>
      </x:c>
      <x:c r="D15" s="62" t="n">
        <x:v>1.0269</x:v>
      </x:c>
      <x:c r="E15" s="61" t="n">
        <x:v>0.9939</x:v>
      </x:c>
    </x:row>
    <x:row r="16" ht="23" customHeight="1">
      <x:c r="A16" s="28" t="str">
        <x:v>نوشیدنی بدون نوشابه</x:v>
      </x:c>
      <x:c r="B16" s="60" t="n">
        <x:v>-0.892</x:v>
      </x:c>
      <x:c r="C16" s="61" t="n">
        <x:v>-0.9027</x:v>
      </x:c>
      <x:c r="D16" s="62" t="n">
        <x:v>0.9832</x:v>
      </x:c>
      <x:c r="E16" s="61" t="n">
        <x:v>1.1776</x:v>
      </x:c>
    </x:row>
    <x:row r="17" ht="23" customHeight="1">
      <x:c r="A17" s="28" t="str">
        <x:v>ادویه و چاشنی</x:v>
      </x:c>
      <x:c r="B17" s="60" t="n">
        <x:v>-0.4211</x:v>
      </x:c>
      <x:c r="C17" s="61" t="n">
        <x:v>-0.4197</x:v>
      </x:c>
      <x:c r="D17" s="62" t="n">
        <x:v>0.8523</x:v>
      </x:c>
      <x:c r="E17" s="61" t="n">
        <x:v>0.6957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سال 1400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-1.0809</x:v>
      </x:c>
      <x:c r="C6" s="61" t="n">
        <x:v>-1.0797</x:v>
      </x:c>
      <x:c r="D6" s="62" t="n">
        <x:v>1.5628</x:v>
      </x:c>
      <x:c r="E6" s="61" t="n">
        <x:v>1.6175</x:v>
      </x:c>
    </x:row>
    <x:row r="7" ht="23" customHeight="1">
      <x:c r="A7" s="28" t="str">
        <x:v>نان و غلات</x:v>
      </x:c>
      <x:c r="B7" s="60" t="n">
        <x:v>-0.6127</x:v>
      </x:c>
      <x:c r="C7" s="61" t="n">
        <x:v>-0.5744</x:v>
      </x:c>
      <x:c r="D7" s="62" t="n">
        <x:v>0.2643</x:v>
      </x:c>
      <x:c r="E7" s="61" t="n">
        <x:v>0.1349</x:v>
      </x:c>
    </x:row>
    <x:row r="8" ht="23" customHeight="1">
      <x:c r="A8" s="28" t="str">
        <x:v>گوشت</x:v>
      </x:c>
      <x:c r="B8" s="60" t="n">
        <x:v>-0.9312</x:v>
      </x:c>
      <x:c r="C8" s="61" t="n">
        <x:v>-0.9417</x:v>
      </x:c>
      <x:c r="D8" s="62" t="n">
        <x:v>1.2358</x:v>
      </x:c>
      <x:c r="E8" s="61" t="n">
        <x:v>1.2558</x:v>
      </x:c>
    </x:row>
    <x:row r="9" ht="23" customHeight="1">
      <x:c r="A9" s="28" t="str">
        <x:v>لبنیات و تخم‌مرغ</x:v>
      </x:c>
      <x:c r="B9" s="60" t="n">
        <x:v>-0.8053</x:v>
      </x:c>
      <x:c r="C9" s="61" t="n">
        <x:v>-0.7993</x:v>
      </x:c>
      <x:c r="D9" s="62" t="n">
        <x:v>0.8562</x:v>
      </x:c>
      <x:c r="E9" s="61" t="n">
        <x:v>0.8329</x:v>
      </x:c>
    </x:row>
    <x:row r="10" ht="23" customHeight="1">
      <x:c r="A10" s="28" t="str">
        <x:v>روغن و چربی</x:v>
      </x:c>
      <x:c r="B10" s="60" t="n">
        <x:v>-0.4068</x:v>
      </x:c>
      <x:c r="C10" s="61" t="n">
        <x:v>-0.3987</x:v>
      </x:c>
      <x:c r="D10" s="62" t="n">
        <x:v>0.6833</x:v>
      </x:c>
      <x:c r="E10" s="61" t="n">
        <x:v>1.031</x:v>
      </x:c>
    </x:row>
    <x:row r="11" ht="23" customHeight="1">
      <x:c r="A11" s="28" t="str">
        <x:v>میوه</x:v>
      </x:c>
      <x:c r="B11" s="60" t="n">
        <x:v>-1.0524</x:v>
      </x:c>
      <x:c r="C11" s="61" t="n">
        <x:v>-1.0475</x:v>
      </x:c>
      <x:c r="D11" s="62" t="n">
        <x:v>1.3053</x:v>
      </x:c>
      <x:c r="E11" s="61" t="n">
        <x:v>1.3314</x:v>
      </x:c>
    </x:row>
    <x:row r="12" ht="23" customHeight="1">
      <x:c r="A12" s="28" t="str">
        <x:v>سبزیجات و سیب‌زمینی</x:v>
      </x:c>
      <x:c r="B12" s="60" t="n">
        <x:v>-0.4916</x:v>
      </x:c>
      <x:c r="C12" s="61" t="n">
        <x:v>-0.4803</x:v>
      </x:c>
      <x:c r="D12" s="62" t="n">
        <x:v>0.7764</x:v>
      </x:c>
      <x:c r="E12" s="61" t="n">
        <x:v>0.7181</x:v>
      </x:c>
    </x:row>
    <x:row r="13" ht="23" customHeight="1">
      <x:c r="A13" s="28" t="str">
        <x:v>حبوبات</x:v>
      </x:c>
      <x:c r="B13" s="60" t="n">
        <x:v>-0.7141</x:v>
      </x:c>
      <x:c r="C13" s="61" t="n">
        <x:v>-0.7381</x:v>
      </x:c>
      <x:c r="D13" s="62" t="n">
        <x:v>1.0308</x:v>
      </x:c>
      <x:c r="E13" s="61" t="n">
        <x:v>1.288</x:v>
      </x:c>
    </x:row>
    <x:row r="14" ht="23" customHeight="1">
      <x:c r="A14" s="28" t="str">
        <x:v>مغزها، خشکبار و خرما</x:v>
      </x:c>
      <x:c r="B14" s="60" t="n">
        <x:v>-0.9187</x:v>
      </x:c>
      <x:c r="C14" s="61" t="n">
        <x:v>-0.9403</x:v>
      </x:c>
      <x:c r="D14" s="62" t="n">
        <x:v>2.2695</x:v>
      </x:c>
      <x:c r="E14" s="61" t="n">
        <x:v>1.6014</x:v>
      </x:c>
    </x:row>
    <x:row r="15" ht="23" customHeight="1">
      <x:c r="A15" s="28" t="str">
        <x:v>قند، شیرینی و تنقلات</x:v>
      </x:c>
      <x:c r="B15" s="60" t="n">
        <x:v>-0.5663</x:v>
      </x:c>
      <x:c r="C15" s="61" t="n">
        <x:v>-0.5633</x:v>
      </x:c>
      <x:c r="D15" s="62" t="n">
        <x:v>1.0354</x:v>
      </x:c>
      <x:c r="E15" s="61" t="n">
        <x:v>1.0073</x:v>
      </x:c>
    </x:row>
    <x:row r="16" ht="23" customHeight="1">
      <x:c r="A16" s="28" t="str">
        <x:v>نوشیدنی بدون نوشابه</x:v>
      </x:c>
      <x:c r="B16" s="60" t="n">
        <x:v>-0.8832</x:v>
      </x:c>
      <x:c r="C16" s="61" t="n">
        <x:v>-0.8939</x:v>
      </x:c>
      <x:c r="D16" s="62" t="n">
        <x:v>0.9723</x:v>
      </x:c>
      <x:c r="E16" s="61" t="n">
        <x:v>1.1737</x:v>
      </x:c>
    </x:row>
    <x:row r="17" ht="23" customHeight="1">
      <x:c r="A17" s="28" t="str">
        <x:v>ادویه و چاشنی</x:v>
      </x:c>
      <x:c r="B17" s="60" t="n">
        <x:v>-0.4319</x:v>
      </x:c>
      <x:c r="C17" s="61" t="n">
        <x:v>-0.4302</x:v>
      </x:c>
      <x:c r="D17" s="62" t="n">
        <x:v>0.8596</x:v>
      </x:c>
      <x:c r="E17" s="61" t="n">
        <x:v>0.7067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سال 1401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-1.0798</x:v>
      </x:c>
      <x:c r="C6" s="61" t="n">
        <x:v>-1.0767</x:v>
      </x:c>
      <x:c r="D6" s="62" t="n">
        <x:v>1.5704</x:v>
      </x:c>
      <x:c r="E6" s="61" t="n">
        <x:v>1.6245</x:v>
      </x:c>
    </x:row>
    <x:row r="7" ht="23" customHeight="1">
      <x:c r="A7" s="28" t="str">
        <x:v>نان و غلات</x:v>
      </x:c>
      <x:c r="B7" s="60" t="n">
        <x:v>-0.5715</x:v>
      </x:c>
      <x:c r="C7" s="61" t="n">
        <x:v>-0.52</x:v>
      </x:c>
      <x:c r="D7" s="62" t="n">
        <x:v>0.1345</x:v>
      </x:c>
      <x:c r="E7" s="61" t="n">
        <x:v>-0.0244</x:v>
      </x:c>
    </x:row>
    <x:row r="8" ht="23" customHeight="1">
      <x:c r="A8" s="28" t="str">
        <x:v>گوشت</x:v>
      </x:c>
      <x:c r="B8" s="60" t="n">
        <x:v>-0.9259</x:v>
      </x:c>
      <x:c r="C8" s="61" t="n">
        <x:v>-0.9381</x:v>
      </x:c>
      <x:c r="D8" s="62" t="n">
        <x:v>1.2615</x:v>
      </x:c>
      <x:c r="E8" s="61" t="n">
        <x:v>1.281</x:v>
      </x:c>
    </x:row>
    <x:row r="9" ht="23" customHeight="1">
      <x:c r="A9" s="28" t="str">
        <x:v>لبنیات و تخم‌مرغ</x:v>
      </x:c>
      <x:c r="B9" s="60" t="n">
        <x:v>-0.8259</x:v>
      </x:c>
      <x:c r="C9" s="61" t="n">
        <x:v>-0.8188</x:v>
      </x:c>
      <x:c r="D9" s="62" t="n">
        <x:v>0.8698</x:v>
      </x:c>
      <x:c r="E9" s="61" t="n">
        <x:v>0.8482</x:v>
      </x:c>
    </x:row>
    <x:row r="10" ht="23" customHeight="1">
      <x:c r="A10" s="28" t="str">
        <x:v>روغن و چربی</x:v>
      </x:c>
      <x:c r="B10" s="60" t="n">
        <x:v>-0.6102</x:v>
      </x:c>
      <x:c r="C10" s="61" t="n">
        <x:v>-0.6157</x:v>
      </x:c>
      <x:c r="D10" s="62" t="n">
        <x:v>0.9085</x:v>
      </x:c>
      <x:c r="E10" s="61" t="n">
        <x:v>1.1074</x:v>
      </x:c>
    </x:row>
    <x:row r="11" ht="23" customHeight="1">
      <x:c r="A11" s="28" t="str">
        <x:v>میوه</x:v>
      </x:c>
      <x:c r="B11" s="60" t="n">
        <x:v>-1.0664</x:v>
      </x:c>
      <x:c r="C11" s="61" t="n">
        <x:v>-1.0608</x:v>
      </x:c>
      <x:c r="D11" s="62" t="n">
        <x:v>1.3611</x:v>
      </x:c>
      <x:c r="E11" s="61" t="n">
        <x:v>1.3856</x:v>
      </x:c>
    </x:row>
    <x:row r="12" ht="23" customHeight="1">
      <x:c r="A12" s="28" t="str">
        <x:v>سبزیجات و سیب‌زمینی</x:v>
      </x:c>
      <x:c r="B12" s="60" t="n">
        <x:v>-0.5156</x:v>
      </x:c>
      <x:c r="C12" s="61" t="n">
        <x:v>-0.5012</x:v>
      </x:c>
      <x:c r="D12" s="62" t="n">
        <x:v>0.7899</x:v>
      </x:c>
      <x:c r="E12" s="61" t="n">
        <x:v>0.7328</x:v>
      </x:c>
    </x:row>
    <x:row r="13" ht="23" customHeight="1">
      <x:c r="A13" s="28" t="str">
        <x:v>حبوبات</x:v>
      </x:c>
      <x:c r="B13" s="60" t="n">
        <x:v>-0.6854</x:v>
      </x:c>
      <x:c r="C13" s="61" t="n">
        <x:v>-0.7103</x:v>
      </x:c>
      <x:c r="D13" s="62" t="n">
        <x:v>1.0393</x:v>
      </x:c>
      <x:c r="E13" s="61" t="n">
        <x:v>1.3185</x:v>
      </x:c>
    </x:row>
    <x:row r="14" ht="23" customHeight="1">
      <x:c r="A14" s="28" t="str">
        <x:v>مغزها، خشکبار و خرما</x:v>
      </x:c>
      <x:c r="B14" s="60" t="n">
        <x:v>-0.9416</x:v>
      </x:c>
      <x:c r="C14" s="61" t="n">
        <x:v>-0.9564</x:v>
      </x:c>
      <x:c r="D14" s="62" t="n">
        <x:v>2.3001</x:v>
      </x:c>
      <x:c r="E14" s="61" t="n">
        <x:v>1.6666</x:v>
      </x:c>
    </x:row>
    <x:row r="15" ht="23" customHeight="1">
      <x:c r="A15" s="28" t="str">
        <x:v>قند، شیرینی و تنقلات</x:v>
      </x:c>
      <x:c r="B15" s="60" t="n">
        <x:v>-0.5649</x:v>
      </x:c>
      <x:c r="C15" s="61" t="n">
        <x:v>-0.563</x:v>
      </x:c>
      <x:c r="D15" s="62" t="n">
        <x:v>1.0341</x:v>
      </x:c>
      <x:c r="E15" s="61" t="n">
        <x:v>0.9925</x:v>
      </x:c>
    </x:row>
    <x:row r="16" ht="23" customHeight="1">
      <x:c r="A16" s="28" t="str">
        <x:v>نوشیدنی بدون نوشابه</x:v>
      </x:c>
      <x:c r="B16" s="60" t="n">
        <x:v>-0.8539</x:v>
      </x:c>
      <x:c r="C16" s="61" t="n">
        <x:v>-0.8637</x:v>
      </x:c>
      <x:c r="D16" s="62" t="n">
        <x:v>0.9257</x:v>
      </x:c>
      <x:c r="E16" s="61" t="n">
        <x:v>1.1377</x:v>
      </x:c>
    </x:row>
    <x:row r="17" ht="23" customHeight="1">
      <x:c r="A17" s="28" t="str">
        <x:v>ادویه و چاشنی</x:v>
      </x:c>
      <x:c r="B17" s="60" t="n">
        <x:v>-0.4221</x:v>
      </x:c>
      <x:c r="C17" s="61" t="n">
        <x:v>-0.4187</x:v>
      </x:c>
      <x:c r="D17" s="62" t="n">
        <x:v>0.8687</x:v>
      </x:c>
      <x:c r="E17" s="61" t="n">
        <x:v>0.7107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سال 1402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-1.08</x:v>
      </x:c>
      <x:c r="C6" s="61" t="n">
        <x:v>-1.0776</x:v>
      </x:c>
      <x:c r="D6" s="62" t="n">
        <x:v>1.5675</x:v>
      </x:c>
      <x:c r="E6" s="61" t="n">
        <x:v>1.6251</x:v>
      </x:c>
    </x:row>
    <x:row r="7" ht="23" customHeight="1">
      <x:c r="A7" s="28" t="str">
        <x:v>نان و غلات</x:v>
      </x:c>
      <x:c r="B7" s="60" t="n">
        <x:v>-0.5372</x:v>
      </x:c>
      <x:c r="C7" s="61" t="n">
        <x:v>-0.4829</x:v>
      </x:c>
      <x:c r="D7" s="62" t="n">
        <x:v>0.0591</x:v>
      </x:c>
      <x:c r="E7" s="61" t="n">
        <x:v>-0.1052</x:v>
      </x:c>
    </x:row>
    <x:row r="8" ht="23" customHeight="1">
      <x:c r="A8" s="28" t="str">
        <x:v>گوشت</x:v>
      </x:c>
      <x:c r="B8" s="60" t="n">
        <x:v>-0.9393</x:v>
      </x:c>
      <x:c r="C8" s="61" t="n">
        <x:v>-0.9501</x:v>
      </x:c>
      <x:c r="D8" s="62" t="n">
        <x:v>1.2375</x:v>
      </x:c>
      <x:c r="E8" s="61" t="n">
        <x:v>1.2559</x:v>
      </x:c>
    </x:row>
    <x:row r="9" ht="23" customHeight="1">
      <x:c r="A9" s="28" t="str">
        <x:v>لبنیات و تخم‌مرغ</x:v>
      </x:c>
      <x:c r="B9" s="60" t="n">
        <x:v>-0.8264</x:v>
      </x:c>
      <x:c r="C9" s="61" t="n">
        <x:v>-0.8195</x:v>
      </x:c>
      <x:c r="D9" s="62" t="n">
        <x:v>0.8695</x:v>
      </x:c>
      <x:c r="E9" s="61" t="n">
        <x:v>0.8481</x:v>
      </x:c>
    </x:row>
    <x:row r="10" ht="23" customHeight="1">
      <x:c r="A10" s="28" t="str">
        <x:v>روغن و چربی</x:v>
      </x:c>
      <x:c r="B10" s="60" t="n">
        <x:v>-0.5393</x:v>
      </x:c>
      <x:c r="C10" s="61" t="n">
        <x:v>-0.5416</x:v>
      </x:c>
      <x:c r="D10" s="62" t="n">
        <x:v>0.8325</x:v>
      </x:c>
      <x:c r="E10" s="61" t="n">
        <x:v>1.0832</x:v>
      </x:c>
    </x:row>
    <x:row r="11" ht="23" customHeight="1">
      <x:c r="A11" s="28" t="str">
        <x:v>میوه</x:v>
      </x:c>
      <x:c r="B11" s="60" t="n">
        <x:v>-1.0627</x:v>
      </x:c>
      <x:c r="C11" s="61" t="n">
        <x:v>-1.057</x:v>
      </x:c>
      <x:c r="D11" s="62" t="n">
        <x:v>1.3581</x:v>
      </x:c>
      <x:c r="E11" s="61" t="n">
        <x:v>1.3844</x:v>
      </x:c>
    </x:row>
    <x:row r="12" ht="23" customHeight="1">
      <x:c r="A12" s="28" t="str">
        <x:v>سبزیجات و سیب‌زمینی</x:v>
      </x:c>
      <x:c r="B12" s="60" t="n">
        <x:v>-0.4804</x:v>
      </x:c>
      <x:c r="C12" s="61" t="n">
        <x:v>-0.4658</x:v>
      </x:c>
      <x:c r="D12" s="62" t="n">
        <x:v>0.7798</x:v>
      </x:c>
      <x:c r="E12" s="61" t="n">
        <x:v>0.7212</x:v>
      </x:c>
    </x:row>
    <x:row r="13" ht="23" customHeight="1">
      <x:c r="A13" s="28" t="str">
        <x:v>حبوبات</x:v>
      </x:c>
      <x:c r="B13" s="60" t="n">
        <x:v>-0.6854</x:v>
      </x:c>
      <x:c r="C13" s="61" t="n">
        <x:v>-0.7089</x:v>
      </x:c>
      <x:c r="D13" s="62" t="n">
        <x:v>1.0308</x:v>
      </x:c>
      <x:c r="E13" s="61" t="n">
        <x:v>1.3024</x:v>
      </x:c>
    </x:row>
    <x:row r="14" ht="23" customHeight="1">
      <x:c r="A14" s="28" t="str">
        <x:v>مغزها، خشکبار و خرما</x:v>
      </x:c>
      <x:c r="B14" s="60" t="n">
        <x:v>-0.9299</x:v>
      </x:c>
      <x:c r="C14" s="61" t="n">
        <x:v>-0.9489</x:v>
      </x:c>
      <x:c r="D14" s="62" t="n">
        <x:v>2.257</x:v>
      </x:c>
      <x:c r="E14" s="61" t="n">
        <x:v>1.6202</x:v>
      </x:c>
    </x:row>
    <x:row r="15" ht="23" customHeight="1">
      <x:c r="A15" s="28" t="str">
        <x:v>قند، شیرینی و تنقلات</x:v>
      </x:c>
      <x:c r="B15" s="60" t="n">
        <x:v>-0.5733</x:v>
      </x:c>
      <x:c r="C15" s="61" t="n">
        <x:v>-0.5705</x:v>
      </x:c>
      <x:c r="D15" s="62" t="n">
        <x:v>1.0419</x:v>
      </x:c>
      <x:c r="E15" s="61" t="n">
        <x:v>1.0029</x:v>
      </x:c>
    </x:row>
    <x:row r="16" ht="23" customHeight="1">
      <x:c r="A16" s="28" t="str">
        <x:v>نوشیدنی بدون نوشابه</x:v>
      </x:c>
      <x:c r="B16" s="60" t="n">
        <x:v>-0.869</x:v>
      </x:c>
      <x:c r="C16" s="61" t="n">
        <x:v>-0.8792</x:v>
      </x:c>
      <x:c r="D16" s="62" t="n">
        <x:v>0.9598</x:v>
      </x:c>
      <x:c r="E16" s="61" t="n">
        <x:v>1.1746</x:v>
      </x:c>
    </x:row>
    <x:row r="17" ht="23" customHeight="1">
      <x:c r="A17" s="28" t="str">
        <x:v>ادویه و چاشنی</x:v>
      </x:c>
      <x:c r="B17" s="60" t="n">
        <x:v>-0.4056</x:v>
      </x:c>
      <x:c r="C17" s="61" t="n">
        <x:v>-0.4023</x:v>
      </x:c>
      <x:c r="D17" s="62" t="n">
        <x:v>0.8689</x:v>
      </x:c>
      <x:c r="E17" s="61" t="n">
        <x:v>0.7036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سال 1403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-1.0822</x:v>
      </x:c>
      <x:c r="C6" s="61" t="n">
        <x:v>-1.0809</x:v>
      </x:c>
      <x:c r="D6" s="62" t="n">
        <x:v>1.5596</x:v>
      </x:c>
      <x:c r="E6" s="61" t="n">
        <x:v>1.6191</x:v>
      </x:c>
    </x:row>
    <x:row r="7" ht="23" customHeight="1">
      <x:c r="A7" s="28" t="str">
        <x:v>نان و غلات</x:v>
      </x:c>
      <x:c r="B7" s="60" t="n">
        <x:v>-0.4368</x:v>
      </x:c>
      <x:c r="C7" s="61" t="n">
        <x:v>-0.3696</x:v>
      </x:c>
      <x:c r="D7" s="62" t="n">
        <x:v>-0.2164</x:v>
      </x:c>
      <x:c r="E7" s="61" t="n">
        <x:v>-0.4361</x:v>
      </x:c>
    </x:row>
    <x:row r="8" ht="23" customHeight="1">
      <x:c r="A8" s="28" t="str">
        <x:v>گوشت</x:v>
      </x:c>
      <x:c r="B8" s="60" t="n">
        <x:v>-0.9461</x:v>
      </x:c>
      <x:c r="C8" s="61" t="n">
        <x:v>-0.9565</x:v>
      </x:c>
      <x:c r="D8" s="62" t="n">
        <x:v>1.2217</x:v>
      </x:c>
      <x:c r="E8" s="61" t="n">
        <x:v>1.2381</x:v>
      </x:c>
    </x:row>
    <x:row r="9" ht="23" customHeight="1">
      <x:c r="A9" s="28" t="str">
        <x:v>لبنیات و تخم‌مرغ</x:v>
      </x:c>
      <x:c r="B9" s="60" t="n">
        <x:v>-0.7995</x:v>
      </x:c>
      <x:c r="C9" s="61" t="n">
        <x:v>-0.7921</x:v>
      </x:c>
      <x:c r="D9" s="62" t="n">
        <x:v>0.8451</x:v>
      </x:c>
      <x:c r="E9" s="61" t="n">
        <x:v>0.8204</x:v>
      </x:c>
    </x:row>
    <x:row r="10" ht="23" customHeight="1">
      <x:c r="A10" s="28" t="str">
        <x:v>روغن و چربی</x:v>
      </x:c>
      <x:c r="B10" s="60" t="n">
        <x:v>-0.4707</x:v>
      </x:c>
      <x:c r="C10" s="61" t="n">
        <x:v>-0.4696</x:v>
      </x:c>
      <x:c r="D10" s="62" t="n">
        <x:v>0.7673</x:v>
      </x:c>
      <x:c r="E10" s="61" t="n">
        <x:v>1.0671</x:v>
      </x:c>
    </x:row>
    <x:row r="11" ht="23" customHeight="1">
      <x:c r="A11" s="28" t="str">
        <x:v>میوه</x:v>
      </x:c>
      <x:c r="B11" s="60" t="n">
        <x:v>-1.0677</x:v>
      </x:c>
      <x:c r="C11" s="61" t="n">
        <x:v>-1.0625</x:v>
      </x:c>
      <x:c r="D11" s="62" t="n">
        <x:v>1.3666</x:v>
      </x:c>
      <x:c r="E11" s="61" t="n">
        <x:v>1.3896</x:v>
      </x:c>
    </x:row>
    <x:row r="12" ht="23" customHeight="1">
      <x:c r="A12" s="28" t="str">
        <x:v>سبزیجات و سیب‌زمینی</x:v>
      </x:c>
      <x:c r="B12" s="60" t="n">
        <x:v>-0.5169</x:v>
      </x:c>
      <x:c r="C12" s="61" t="n">
        <x:v>-0.5036</x:v>
      </x:c>
      <x:c r="D12" s="62" t="n">
        <x:v>0.7925</x:v>
      </x:c>
      <x:c r="E12" s="61" t="n">
        <x:v>0.7367</x:v>
      </x:c>
    </x:row>
    <x:row r="13" ht="23" customHeight="1">
      <x:c r="A13" s="28" t="str">
        <x:v>حبوبات</x:v>
      </x:c>
      <x:c r="B13" s="60" t="n">
        <x:v>-0.7119</x:v>
      </x:c>
      <x:c r="C13" s="61" t="n">
        <x:v>-0.7343</x:v>
      </x:c>
      <x:c r="D13" s="62" t="n">
        <x:v>1.0492</x:v>
      </x:c>
      <x:c r="E13" s="61" t="n">
        <x:v>1.3048</x:v>
      </x:c>
    </x:row>
    <x:row r="14" ht="23" customHeight="1">
      <x:c r="A14" s="28" t="str">
        <x:v>مغزها، خشکبار و خرما</x:v>
      </x:c>
      <x:c r="B14" s="60" t="n">
        <x:v>-0.9222</x:v>
      </x:c>
      <x:c r="C14" s="61" t="n">
        <x:v>-0.9401</x:v>
      </x:c>
      <x:c r="D14" s="62" t="n">
        <x:v>2.2433</x:v>
      </x:c>
      <x:c r="E14" s="61" t="n">
        <x:v>1.5904</x:v>
      </x:c>
    </x:row>
    <x:row r="15" ht="23" customHeight="1">
      <x:c r="A15" s="28" t="str">
        <x:v>قند، شیرینی و تنقلات</x:v>
      </x:c>
      <x:c r="B15" s="60" t="n">
        <x:v>-0.601</x:v>
      </x:c>
      <x:c r="C15" s="61" t="n">
        <x:v>-0.5979</x:v>
      </x:c>
      <x:c r="D15" s="62" t="n">
        <x:v>1.0427</x:v>
      </x:c>
      <x:c r="E15" s="61" t="n">
        <x:v>1.0046</x:v>
      </x:c>
    </x:row>
    <x:row r="16" ht="23" customHeight="1">
      <x:c r="A16" s="28" t="str">
        <x:v>نوشیدنی بدون نوشابه</x:v>
      </x:c>
      <x:c r="B16" s="60" t="n">
        <x:v>-0.8867</x:v>
      </x:c>
      <x:c r="C16" s="61" t="n">
        <x:v>-0.8975</x:v>
      </x:c>
      <x:c r="D16" s="62" t="n">
        <x:v>0.9918</x:v>
      </x:c>
      <x:c r="E16" s="61" t="n">
        <x:v>1.2021</x:v>
      </x:c>
    </x:row>
    <x:row r="17" ht="23" customHeight="1">
      <x:c r="A17" s="28" t="str">
        <x:v>ادویه و چاشنی</x:v>
      </x:c>
      <x:c r="B17" s="60" t="n">
        <x:v>-0.424</x:v>
      </x:c>
      <x:c r="C17" s="61" t="n">
        <x:v>-0.421</x:v>
      </x:c>
      <x:c r="D17" s="62" t="n">
        <x:v>0.8801</x:v>
      </x:c>
      <x:c r="E17" s="61" t="n">
        <x:v>0.7231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کوهرت 1392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-1.0762</x:v>
      </x:c>
      <x:c r="C6" s="61" t="n">
        <x:v>-1.0737</x:v>
      </x:c>
      <x:c r="D6" s="62" t="n">
        <x:v>1.5723</x:v>
      </x:c>
      <x:c r="E6" s="61" t="n">
        <x:v>1.6182</x:v>
      </x:c>
    </x:row>
    <x:row r="7" ht="23" customHeight="1">
      <x:c r="A7" s="28" t="str">
        <x:v>نان و غلات</x:v>
      </x:c>
      <x:c r="B7" s="60" t="n">
        <x:v>-0.7199</x:v>
      </x:c>
      <x:c r="C7" s="61" t="n">
        <x:v>-0.691</x:v>
      </x:c>
      <x:c r="D7" s="62" t="n">
        <x:v>0.5941</x:v>
      </x:c>
      <x:c r="E7" s="61" t="n">
        <x:v>0.5051</x:v>
      </x:c>
    </x:row>
    <x:row r="8" ht="23" customHeight="1">
      <x:c r="A8" s="28" t="str">
        <x:v>گوشت</x:v>
      </x:c>
      <x:c r="B8" s="60" t="n">
        <x:v>-0.9092</x:v>
      </x:c>
      <x:c r="C8" s="61" t="n">
        <x:v>-0.9202</x:v>
      </x:c>
      <x:c r="D8" s="62" t="n">
        <x:v>1.2327</x:v>
      </x:c>
      <x:c r="E8" s="61" t="n">
        <x:v>1.2542</x:v>
      </x:c>
    </x:row>
    <x:row r="9" ht="23" customHeight="1">
      <x:c r="A9" s="28" t="str">
        <x:v>لبنیات و تخم‌مرغ</x:v>
      </x:c>
      <x:c r="B9" s="60" t="n">
        <x:v>-0.7909</x:v>
      </x:c>
      <x:c r="C9" s="61" t="n">
        <x:v>-0.7845</x:v>
      </x:c>
      <x:c r="D9" s="62" t="n">
        <x:v>0.8612</x:v>
      </x:c>
      <x:c r="E9" s="61" t="n">
        <x:v>0.8345</x:v>
      </x:c>
    </x:row>
    <x:row r="10" ht="23" customHeight="1">
      <x:c r="A10" s="28" t="str">
        <x:v>روغن و چربی</x:v>
      </x:c>
      <x:c r="B10" s="60" t="n">
        <x:v>-0.4617</x:v>
      </x:c>
      <x:c r="C10" s="61" t="n">
        <x:v>-0.4604</x:v>
      </x:c>
      <x:c r="D10" s="62" t="n">
        <x:v>0.7064</x:v>
      </x:c>
      <x:c r="E10" s="61" t="n">
        <x:v>1.0178</x:v>
      </x:c>
    </x:row>
    <x:row r="11" ht="23" customHeight="1">
      <x:c r="A11" s="28" t="str">
        <x:v>میوه</x:v>
      </x:c>
      <x:c r="B11" s="60" t="n">
        <x:v>-1.0502</x:v>
      </x:c>
      <x:c r="C11" s="61" t="n">
        <x:v>-1.0445</x:v>
      </x:c>
      <x:c r="D11" s="62" t="n">
        <x:v>1.2741</x:v>
      </x:c>
      <x:c r="E11" s="61" t="n">
        <x:v>1.3028</x:v>
      </x:c>
    </x:row>
    <x:row r="12" ht="23" customHeight="1">
      <x:c r="A12" s="28" t="str">
        <x:v>سبزیجات و سیب‌زمینی</x:v>
      </x:c>
      <x:c r="B12" s="60" t="n">
        <x:v>-0.3902</x:v>
      </x:c>
      <x:c r="C12" s="61" t="n">
        <x:v>-0.3772</x:v>
      </x:c>
      <x:c r="D12" s="62" t="n">
        <x:v>0.7049</x:v>
      </x:c>
      <x:c r="E12" s="61" t="n">
        <x:v>0.6263</x:v>
      </x:c>
    </x:row>
    <x:row r="13" ht="23" customHeight="1">
      <x:c r="A13" s="28" t="str">
        <x:v>حبوبات</x:v>
      </x:c>
      <x:c r="B13" s="60" t="n">
        <x:v>-0.6778</x:v>
      </x:c>
      <x:c r="C13" s="61" t="n">
        <x:v>-0.7032</x:v>
      </x:c>
      <x:c r="D13" s="62" t="n">
        <x:v>0.9203</x:v>
      </x:c>
      <x:c r="E13" s="61" t="n">
        <x:v>1.1869</x:v>
      </x:c>
    </x:row>
    <x:row r="14" ht="23" customHeight="1">
      <x:c r="A14" s="28" t="str">
        <x:v>مغزها، خشکبار و خرما</x:v>
      </x:c>
      <x:c r="B14" s="60" t="n">
        <x:v>-0.995</x:v>
      </x:c>
      <x:c r="C14" s="61" t="n">
        <x:v>-1.0015</x:v>
      </x:c>
      <x:c r="D14" s="62" t="n">
        <x:v>2.1212</x:v>
      </x:c>
      <x:c r="E14" s="61" t="n">
        <x:v>1.6553</x:v>
      </x:c>
    </x:row>
    <x:row r="15" ht="23" customHeight="1">
      <x:c r="A15" s="28" t="str">
        <x:v>قند، شیرینی و تنقلات</x:v>
      </x:c>
      <x:c r="B15" s="60" t="n">
        <x:v>-0.4879</x:v>
      </x:c>
      <x:c r="C15" s="61" t="n">
        <x:v>-0.4857</x:v>
      </x:c>
      <x:c r="D15" s="62" t="n">
        <x:v>0.9738</x:v>
      </x:c>
      <x:c r="E15" s="61" t="n">
        <x:v>0.9472</x:v>
      </x:c>
    </x:row>
    <x:row r="16" ht="23" customHeight="1">
      <x:c r="A16" s="28" t="str">
        <x:v>نوشیدنی بدون نوشابه</x:v>
      </x:c>
      <x:c r="B16" s="60" t="n">
        <x:v>-0.8261</x:v>
      </x:c>
      <x:c r="C16" s="61" t="n">
        <x:v>-0.8353</x:v>
      </x:c>
      <x:c r="D16" s="62" t="n">
        <x:v>0.8273</x:v>
      </x:c>
      <x:c r="E16" s="61" t="n">
        <x:v>1.0044</x:v>
      </x:c>
    </x:row>
    <x:row r="17" ht="23" customHeight="1">
      <x:c r="A17" s="28" t="str">
        <x:v>ادویه و چاشنی</x:v>
      </x:c>
      <x:c r="B17" s="60" t="n">
        <x:v>-0.382</x:v>
      </x:c>
      <x:c r="C17" s="61" t="n">
        <x:v>-0.3799</x:v>
      </x:c>
      <x:c r="D17" s="62" t="n">
        <x:v>0.7889</x:v>
      </x:c>
      <x:c r="E17" s="61" t="n">
        <x:v>0.6173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کوهرت 1393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-1.0774</x:v>
      </x:c>
      <x:c r="C6" s="61" t="n">
        <x:v>-1.0753</x:v>
      </x:c>
      <x:c r="D6" s="62" t="n">
        <x:v>1.5721</x:v>
      </x:c>
      <x:c r="E6" s="61" t="n">
        <x:v>1.619</x:v>
      </x:c>
    </x:row>
    <x:row r="7" ht="23" customHeight="1">
      <x:c r="A7" s="28" t="str">
        <x:v>نان و غلات</x:v>
      </x:c>
      <x:c r="B7" s="60" t="n">
        <x:v>-0.7373</x:v>
      </x:c>
      <x:c r="C7" s="61" t="n">
        <x:v>-0.7103</x:v>
      </x:c>
      <x:c r="D7" s="62" t="n">
        <x:v>0.6093</x:v>
      </x:c>
      <x:c r="E7" s="61" t="n">
        <x:v>0.5268</x:v>
      </x:c>
    </x:row>
    <x:row r="8" ht="23" customHeight="1">
      <x:c r="A8" s="28" t="str">
        <x:v>گوشت</x:v>
      </x:c>
      <x:c r="B8" s="60" t="n">
        <x:v>-0.9098</x:v>
      </x:c>
      <x:c r="C8" s="61" t="n">
        <x:v>-0.9208</x:v>
      </x:c>
      <x:c r="D8" s="62" t="n">
        <x:v>1.2369</x:v>
      </x:c>
      <x:c r="E8" s="61" t="n">
        <x:v>1.2588</x:v>
      </x:c>
    </x:row>
    <x:row r="9" ht="23" customHeight="1">
      <x:c r="A9" s="28" t="str">
        <x:v>لبنیات و تخم‌مرغ</x:v>
      </x:c>
      <x:c r="B9" s="60" t="n">
        <x:v>-0.7902</x:v>
      </x:c>
      <x:c r="C9" s="61" t="n">
        <x:v>-0.7839</x:v>
      </x:c>
      <x:c r="D9" s="62" t="n">
        <x:v>0.8586</x:v>
      </x:c>
      <x:c r="E9" s="61" t="n">
        <x:v>0.8321</x:v>
      </x:c>
    </x:row>
    <x:row r="10" ht="23" customHeight="1">
      <x:c r="A10" s="28" t="str">
        <x:v>روغن و چربی</x:v>
      </x:c>
      <x:c r="B10" s="60" t="n">
        <x:v>-0.4325</x:v>
      </x:c>
      <x:c r="C10" s="61" t="n">
        <x:v>-0.4287</x:v>
      </x:c>
      <x:c r="D10" s="62" t="n">
        <x:v>0.6848</x:v>
      </x:c>
      <x:c r="E10" s="61" t="n">
        <x:v>1.016</x:v>
      </x:c>
    </x:row>
    <x:row r="11" ht="23" customHeight="1">
      <x:c r="A11" s="28" t="str">
        <x:v>میوه</x:v>
      </x:c>
      <x:c r="B11" s="60" t="n">
        <x:v>-1.0383</x:v>
      </x:c>
      <x:c r="C11" s="61" t="n">
        <x:v>-1.0329</x:v>
      </x:c>
      <x:c r="D11" s="62" t="n">
        <x:v>1.2472</x:v>
      </x:c>
      <x:c r="E11" s="61" t="n">
        <x:v>1.2797</x:v>
      </x:c>
    </x:row>
    <x:row r="12" ht="23" customHeight="1">
      <x:c r="A12" s="28" t="str">
        <x:v>سبزیجات و سیب‌زمینی</x:v>
      </x:c>
      <x:c r="B12" s="60" t="n">
        <x:v>-0.3783</x:v>
      </x:c>
      <x:c r="C12" s="61" t="n">
        <x:v>-0.3659</x:v>
      </x:c>
      <x:c r="D12" s="62" t="n">
        <x:v>0.7094</x:v>
      </x:c>
      <x:c r="E12" s="61" t="n">
        <x:v>0.6343</x:v>
      </x:c>
    </x:row>
    <x:row r="13" ht="23" customHeight="1">
      <x:c r="A13" s="28" t="str">
        <x:v>حبوبات</x:v>
      </x:c>
      <x:c r="B13" s="60" t="n">
        <x:v>-0.6895</x:v>
      </x:c>
      <x:c r="C13" s="61" t="n">
        <x:v>-0.7141</x:v>
      </x:c>
      <x:c r="D13" s="62" t="n">
        <x:v>0.9331</x:v>
      </x:c>
      <x:c r="E13" s="61" t="n">
        <x:v>1.1906</x:v>
      </x:c>
    </x:row>
    <x:row r="14" ht="23" customHeight="1">
      <x:c r="A14" s="28" t="str">
        <x:v>مغزها، خشکبار و خرما</x:v>
      </x:c>
      <x:c r="B14" s="60" t="n">
        <x:v>-0.9826</x:v>
      </x:c>
      <x:c r="C14" s="61" t="n">
        <x:v>-0.9892</x:v>
      </x:c>
      <x:c r="D14" s="62" t="n">
        <x:v>2.1059</x:v>
      </x:c>
      <x:c r="E14" s="61" t="n">
        <x:v>1.6145</x:v>
      </x:c>
    </x:row>
    <x:row r="15" ht="23" customHeight="1">
      <x:c r="A15" s="28" t="str">
        <x:v>قند، شیرینی و تنقلات</x:v>
      </x:c>
      <x:c r="B15" s="60" t="n">
        <x:v>-0.4987</x:v>
      </x:c>
      <x:c r="C15" s="61" t="n">
        <x:v>-0.4961</x:v>
      </x:c>
      <x:c r="D15" s="62" t="n">
        <x:v>0.9839</x:v>
      </x:c>
      <x:c r="E15" s="61" t="n">
        <x:v>0.9582</x:v>
      </x:c>
    </x:row>
    <x:row r="16" ht="23" customHeight="1">
      <x:c r="A16" s="28" t="str">
        <x:v>نوشیدنی بدون نوشابه</x:v>
      </x:c>
      <x:c r="B16" s="60" t="n">
        <x:v>-0.8263</x:v>
      </x:c>
      <x:c r="C16" s="61" t="n">
        <x:v>-0.8355</x:v>
      </x:c>
      <x:c r="D16" s="62" t="n">
        <x:v>0.8329</x:v>
      </x:c>
      <x:c r="E16" s="61" t="n">
        <x:v>1.0152</x:v>
      </x:c>
    </x:row>
    <x:row r="17" ht="23" customHeight="1">
      <x:c r="A17" s="28" t="str">
        <x:v>ادویه و چاشنی</x:v>
      </x:c>
      <x:c r="B17" s="60" t="n">
        <x:v>-0.3932</x:v>
      </x:c>
      <x:c r="C17" s="61" t="n">
        <x:v>-0.3912</x:v>
      </x:c>
      <x:c r="D17" s="62" t="n">
        <x:v>0.7998</x:v>
      </x:c>
      <x:c r="E17" s="61" t="n">
        <x:v>0.6323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کوهرت 1394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-1.0779</x:v>
      </x:c>
      <x:c r="C6" s="61" t="n">
        <x:v>-1.0759</x:v>
      </x:c>
      <x:c r="D6" s="62" t="n">
        <x:v>1.5696</x:v>
      </x:c>
      <x:c r="E6" s="61" t="n">
        <x:v>1.6157</x:v>
      </x:c>
    </x:row>
    <x:row r="7" ht="23" customHeight="1">
      <x:c r="A7" s="28" t="str">
        <x:v>نان و غلات</x:v>
      </x:c>
      <x:c r="B7" s="60" t="n">
        <x:v>-0.7355</x:v>
      </x:c>
      <x:c r="C7" s="61" t="n">
        <x:v>-0.7083</x:v>
      </x:c>
      <x:c r="D7" s="62" t="n">
        <x:v>0.6062</x:v>
      </x:c>
      <x:c r="E7" s="61" t="n">
        <x:v>0.5229</x:v>
      </x:c>
    </x:row>
    <x:row r="8" ht="23" customHeight="1">
      <x:c r="A8" s="28" t="str">
        <x:v>گوشت</x:v>
      </x:c>
      <x:c r="B8" s="60" t="n">
        <x:v>-0.9084</x:v>
      </x:c>
      <x:c r="C8" s="61" t="n">
        <x:v>-0.9194</x:v>
      </x:c>
      <x:c r="D8" s="62" t="n">
        <x:v>1.2381</x:v>
      </x:c>
      <x:c r="E8" s="61" t="n">
        <x:v>1.26</x:v>
      </x:c>
    </x:row>
    <x:row r="9" ht="23" customHeight="1">
      <x:c r="A9" s="28" t="str">
        <x:v>لبنیات و تخم‌مرغ</x:v>
      </x:c>
      <x:c r="B9" s="60" t="n">
        <x:v>-0.791</x:v>
      </x:c>
      <x:c r="C9" s="61" t="n">
        <x:v>-0.7847</x:v>
      </x:c>
      <x:c r="D9" s="62" t="n">
        <x:v>0.8593</x:v>
      </x:c>
      <x:c r="E9" s="61" t="n">
        <x:v>0.8327</x:v>
      </x:c>
    </x:row>
    <x:row r="10" ht="23" customHeight="1">
      <x:c r="A10" s="28" t="str">
        <x:v>روغن و چربی</x:v>
      </x:c>
      <x:c r="B10" s="60" t="n">
        <x:v>-0.4009</x:v>
      </x:c>
      <x:c r="C10" s="61" t="n">
        <x:v>-0.3954</x:v>
      </x:c>
      <x:c r="D10" s="62" t="n">
        <x:v>0.6557</x:v>
      </x:c>
      <x:c r="E10" s="61" t="n">
        <x:v>1.0088</x:v>
      </x:c>
    </x:row>
    <x:row r="11" ht="23" customHeight="1">
      <x:c r="A11" s="28" t="str">
        <x:v>میوه</x:v>
      </x:c>
      <x:c r="B11" s="60" t="n">
        <x:v>-1.0271</x:v>
      </x:c>
      <x:c r="C11" s="61" t="n">
        <x:v>-1.0219</x:v>
      </x:c>
      <x:c r="D11" s="62" t="n">
        <x:v>1.2193</x:v>
      </x:c>
      <x:c r="E11" s="61" t="n">
        <x:v>1.2558</x:v>
      </x:c>
    </x:row>
    <x:row r="12" ht="23" customHeight="1">
      <x:c r="A12" s="28" t="str">
        <x:v>سبزیجات و سیب‌زمینی</x:v>
      </x:c>
      <x:c r="B12" s="60" t="n">
        <x:v>-0.3849</x:v>
      </x:c>
      <x:c r="C12" s="61" t="n">
        <x:v>-0.3727</x:v>
      </x:c>
      <x:c r="D12" s="62" t="n">
        <x:v>0.7195</x:v>
      </x:c>
      <x:c r="E12" s="61" t="n">
        <x:v>0.6486</x:v>
      </x:c>
    </x:row>
    <x:row r="13" ht="23" customHeight="1">
      <x:c r="A13" s="28" t="str">
        <x:v>حبوبات</x:v>
      </x:c>
      <x:c r="B13" s="60" t="n">
        <x:v>-0.6965</x:v>
      </x:c>
      <x:c r="C13" s="61" t="n">
        <x:v>-0.7206</x:v>
      </x:c>
      <x:c r="D13" s="62" t="n">
        <x:v>0.9308</x:v>
      </x:c>
      <x:c r="E13" s="61" t="n">
        <x:v>1.1805</x:v>
      </x:c>
    </x:row>
    <x:row r="14" ht="23" customHeight="1">
      <x:c r="A14" s="28" t="str">
        <x:v>مغزها، خشکبار و خرما</x:v>
      </x:c>
      <x:c r="B14" s="60" t="n">
        <x:v>-0.9778</x:v>
      </x:c>
      <x:c r="C14" s="61" t="n">
        <x:v>-0.9836</x:v>
      </x:c>
      <x:c r="D14" s="62" t="n">
        <x:v>2.065</x:v>
      </x:c>
      <x:c r="E14" s="61" t="n">
        <x:v>1.5745</x:v>
      </x:c>
    </x:row>
    <x:row r="15" ht="23" customHeight="1">
      <x:c r="A15" s="28" t="str">
        <x:v>قند، شیرینی و تنقلات</x:v>
      </x:c>
      <x:c r="B15" s="60" t="n">
        <x:v>-0.5116</x:v>
      </x:c>
      <x:c r="C15" s="61" t="n">
        <x:v>-0.5094</x:v>
      </x:c>
      <x:c r="D15" s="62" t="n">
        <x:v>0.9919</x:v>
      </x:c>
      <x:c r="E15" s="61" t="n">
        <x:v>0.9727</x:v>
      </x:c>
    </x:row>
    <x:row r="16" ht="23" customHeight="1">
      <x:c r="A16" s="28" t="str">
        <x:v>نوشیدنی بدون نوشابه</x:v>
      </x:c>
      <x:c r="B16" s="60" t="n">
        <x:v>-0.8161</x:v>
      </x:c>
      <x:c r="C16" s="61" t="n">
        <x:v>-0.8252</x:v>
      </x:c>
      <x:c r="D16" s="62" t="n">
        <x:v>0.814</x:v>
      </x:c>
      <x:c r="E16" s="61" t="n">
        <x:v>0.9984</x:v>
      </x:c>
    </x:row>
    <x:row r="17" ht="23" customHeight="1">
      <x:c r="A17" s="28" t="str">
        <x:v>ادویه و چاشنی</x:v>
      </x:c>
      <x:c r="B17" s="60" t="n">
        <x:v>-0.3794</x:v>
      </x:c>
      <x:c r="C17" s="61" t="n">
        <x:v>-0.3774</x:v>
      </x:c>
      <x:c r="D17" s="62" t="n">
        <x:v>0.7949</x:v>
      </x:c>
      <x:c r="E17" s="61" t="n">
        <x:v>0.6221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کوهرت 1397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-1.0807</x:v>
      </x:c>
      <x:c r="C6" s="61" t="n">
        <x:v>-1.0797</x:v>
      </x:c>
      <x:c r="D6" s="62" t="n">
        <x:v>1.5623</x:v>
      </x:c>
      <x:c r="E6" s="61" t="n">
        <x:v>1.6144</x:v>
      </x:c>
    </x:row>
    <x:row r="7" ht="23" customHeight="1">
      <x:c r="A7" s="28" t="str">
        <x:v>نان و غلات</x:v>
      </x:c>
      <x:c r="B7" s="60" t="n">
        <x:v>-0.6767</x:v>
      </x:c>
      <x:c r="C7" s="61" t="n">
        <x:v>-0.6469</x:v>
      </x:c>
      <x:c r="D7" s="62" t="n">
        <x:v>0.4322</x:v>
      </x:c>
      <x:c r="E7" s="61" t="n">
        <x:v>0.3301</x:v>
      </x:c>
    </x:row>
    <x:row r="8" ht="23" customHeight="1">
      <x:c r="A8" s="28" t="str">
        <x:v>گوشت</x:v>
      </x:c>
      <x:c r="B8" s="60" t="n">
        <x:v>-0.9225</x:v>
      </x:c>
      <x:c r="C8" s="61" t="n">
        <x:v>-0.9331</x:v>
      </x:c>
      <x:c r="D8" s="62" t="n">
        <x:v>1.2434</x:v>
      </x:c>
      <x:c r="E8" s="61" t="n">
        <x:v>1.2655</x:v>
      </x:c>
    </x:row>
    <x:row r="9" ht="23" customHeight="1">
      <x:c r="A9" s="28" t="str">
        <x:v>لبنیات و تخم‌مرغ</x:v>
      </x:c>
      <x:c r="B9" s="60" t="n">
        <x:v>-0.791</x:v>
      </x:c>
      <x:c r="C9" s="61" t="n">
        <x:v>-0.7854</x:v>
      </x:c>
      <x:c r="D9" s="62" t="n">
        <x:v>0.8482</x:v>
      </x:c>
      <x:c r="E9" s="61" t="n">
        <x:v>0.8234</x:v>
      </x:c>
    </x:row>
    <x:row r="10" ht="23" customHeight="1">
      <x:c r="A10" s="28" t="str">
        <x:v>روغن و چربی</x:v>
      </x:c>
      <x:c r="B10" s="60" t="n">
        <x:v>-0.4312</x:v>
      </x:c>
      <x:c r="C10" s="61" t="n">
        <x:v>-0.4252</x:v>
      </x:c>
      <x:c r="D10" s="62" t="n">
        <x:v>0.675</x:v>
      </x:c>
      <x:c r="E10" s="61" t="n">
        <x:v>1.0112</x:v>
      </x:c>
    </x:row>
    <x:row r="11" ht="23" customHeight="1">
      <x:c r="A11" s="28" t="str">
        <x:v>میوه</x:v>
      </x:c>
      <x:c r="B11" s="60" t="n">
        <x:v>-1.0796</x:v>
      </x:c>
      <x:c r="C11" s="61" t="n">
        <x:v>-1.074</x:v>
      </x:c>
      <x:c r="D11" s="62" t="n">
        <x:v>1.3669</x:v>
      </x:c>
      <x:c r="E11" s="61" t="n">
        <x:v>1.3835</x:v>
      </x:c>
    </x:row>
    <x:row r="12" ht="23" customHeight="1">
      <x:c r="A12" s="28" t="str">
        <x:v>سبزیجات و سیب‌زمینی</x:v>
      </x:c>
      <x:c r="B12" s="60" t="n">
        <x:v>-0.4716</x:v>
      </x:c>
      <x:c r="C12" s="61" t="n">
        <x:v>-0.4615</x:v>
      </x:c>
      <x:c r="D12" s="62" t="n">
        <x:v>0.7655</x:v>
      </x:c>
      <x:c r="E12" s="61" t="n">
        <x:v>0.7056</x:v>
      </x:c>
    </x:row>
    <x:row r="13" ht="23" customHeight="1">
      <x:c r="A13" s="28" t="str">
        <x:v>حبوبات</x:v>
      </x:c>
      <x:c r="B13" s="60" t="n">
        <x:v>-0.6915</x:v>
      </x:c>
      <x:c r="C13" s="61" t="n">
        <x:v>-0.7158</x:v>
      </x:c>
      <x:c r="D13" s="62" t="n">
        <x:v>0.9874</x:v>
      </x:c>
      <x:c r="E13" s="61" t="n">
        <x:v>1.2503</x:v>
      </x:c>
    </x:row>
    <x:row r="14" ht="23" customHeight="1">
      <x:c r="A14" s="28" t="str">
        <x:v>مغزها، خشکبار و خرما</x:v>
      </x:c>
      <x:c r="B14" s="60" t="n">
        <x:v>-0.9559</x:v>
      </x:c>
      <x:c r="C14" s="61" t="n">
        <x:v>-0.973</x:v>
      </x:c>
      <x:c r="D14" s="62" t="n">
        <x:v>2.2604</x:v>
      </x:c>
      <x:c r="E14" s="61" t="n">
        <x:v>1.6756</x:v>
      </x:c>
    </x:row>
    <x:row r="15" ht="23" customHeight="1">
      <x:c r="A15" s="28" t="str">
        <x:v>قند، شیرینی و تنقلات</x:v>
      </x:c>
      <x:c r="B15" s="60" t="n">
        <x:v>-0.5405</x:v>
      </x:c>
      <x:c r="C15" s="61" t="n">
        <x:v>-0.5375</x:v>
      </x:c>
      <x:c r="D15" s="62" t="n">
        <x:v>1.0246</x:v>
      </x:c>
      <x:c r="E15" s="61" t="n">
        <x:v>0.9972</x:v>
      </x:c>
    </x:row>
    <x:row r="16" ht="23" customHeight="1">
      <x:c r="A16" s="28" t="str">
        <x:v>نوشیدنی بدون نوشابه</x:v>
      </x:c>
      <x:c r="B16" s="60" t="n">
        <x:v>-0.8729</x:v>
      </x:c>
      <x:c r="C16" s="61" t="n">
        <x:v>-0.8829</x:v>
      </x:c>
      <x:c r="D16" s="62" t="n">
        <x:v>0.9416</x:v>
      </x:c>
      <x:c r="E16" s="61" t="n">
        <x:v>1.1334</x:v>
      </x:c>
    </x:row>
    <x:row r="17" ht="23" customHeight="1">
      <x:c r="A17" s="28" t="str">
        <x:v>ادویه و چاشنی</x:v>
      </x:c>
      <x:c r="B17" s="60" t="n">
        <x:v>-0.4708</x:v>
      </x:c>
      <x:c r="C17" s="61" t="n">
        <x:v>-0.4695</x:v>
      </x:c>
      <x:c r="D17" s="62" t="n">
        <x:v>0.8603</x:v>
      </x:c>
      <x:c r="E17" s="61" t="n">
        <x:v>0.7238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کوهرت 1398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-1.0811</x:v>
      </x:c>
      <x:c r="C6" s="61" t="n">
        <x:v>-1.08</x:v>
      </x:c>
      <x:c r="D6" s="62" t="n">
        <x:v>1.5573</x:v>
      </x:c>
      <x:c r="E6" s="61" t="n">
        <x:v>1.61</x:v>
      </x:c>
    </x:row>
    <x:row r="7" ht="23" customHeight="1">
      <x:c r="A7" s="28" t="str">
        <x:v>نان و غلات</x:v>
      </x:c>
      <x:c r="B7" s="60" t="n">
        <x:v>-0.6414</x:v>
      </x:c>
      <x:c r="C7" s="61" t="n">
        <x:v>-0.6082</x:v>
      </x:c>
      <x:c r="D7" s="62" t="n">
        <x:v>0.3403</x:v>
      </x:c>
      <x:c r="E7" s="61" t="n">
        <x:v>0.2248</x:v>
      </x:c>
    </x:row>
    <x:row r="8" ht="23" customHeight="1">
      <x:c r="A8" s="28" t="str">
        <x:v>گوشت</x:v>
      </x:c>
      <x:c r="B8" s="60" t="n">
        <x:v>-0.9282</x:v>
      </x:c>
      <x:c r="C8" s="61" t="n">
        <x:v>-0.9388</x:v>
      </x:c>
      <x:c r="D8" s="62" t="n">
        <x:v>1.2374</x:v>
      </x:c>
      <x:c r="E8" s="61" t="n">
        <x:v>1.2581</x:v>
      </x:c>
    </x:row>
    <x:row r="9" ht="23" customHeight="1">
      <x:c r="A9" s="28" t="str">
        <x:v>لبنیات و تخم‌مرغ</x:v>
      </x:c>
      <x:c r="B9" s="60" t="n">
        <x:v>-0.7924</x:v>
      </x:c>
      <x:c r="C9" s="61" t="n">
        <x:v>-0.7865</x:v>
      </x:c>
      <x:c r="D9" s="62" t="n">
        <x:v>0.8473</x:v>
      </x:c>
      <x:c r="E9" s="61" t="n">
        <x:v>0.8226</x:v>
      </x:c>
    </x:row>
    <x:row r="10" ht="23" customHeight="1">
      <x:c r="A10" s="28" t="str">
        <x:v>روغن و چربی</x:v>
      </x:c>
      <x:c r="B10" s="60" t="n">
        <x:v>-0.4303</x:v>
      </x:c>
      <x:c r="C10" s="61" t="n">
        <x:v>-0.4234</x:v>
      </x:c>
      <x:c r="D10" s="62" t="n">
        <x:v>0.6955</x:v>
      </x:c>
      <x:c r="E10" s="61" t="n">
        <x:v>1.0284</x:v>
      </x:c>
    </x:row>
    <x:row r="11" ht="23" customHeight="1">
      <x:c r="A11" s="28" t="str">
        <x:v>میوه</x:v>
      </x:c>
      <x:c r="B11" s="60" t="n">
        <x:v>-1.0791</x:v>
      </x:c>
      <x:c r="C11" s="61" t="n">
        <x:v>-1.0736</x:v>
      </x:c>
      <x:c r="D11" s="62" t="n">
        <x:v>1.3681</x:v>
      </x:c>
      <x:c r="E11" s="61" t="n">
        <x:v>1.3843</x:v>
      </x:c>
    </x:row>
    <x:row r="12" ht="23" customHeight="1">
      <x:c r="A12" s="28" t="str">
        <x:v>سبزیجات و سیب‌زمینی</x:v>
      </x:c>
      <x:c r="B12" s="60" t="n">
        <x:v>-0.4807</x:v>
      </x:c>
      <x:c r="C12" s="61" t="n">
        <x:v>-0.47</x:v>
      </x:c>
      <x:c r="D12" s="62" t="n">
        <x:v>0.7662</x:v>
      </x:c>
      <x:c r="E12" s="61" t="n">
        <x:v>0.7047</x:v>
      </x:c>
    </x:row>
    <x:row r="13" ht="23" customHeight="1">
      <x:c r="A13" s="28" t="str">
        <x:v>حبوبات</x:v>
      </x:c>
      <x:c r="B13" s="60" t="n">
        <x:v>-0.7036</x:v>
      </x:c>
      <x:c r="C13" s="61" t="n">
        <x:v>-0.7275</x:v>
      </x:c>
      <x:c r="D13" s="62" t="n">
        <x:v>1.0134</x:v>
      </x:c>
      <x:c r="E13" s="61" t="n">
        <x:v>1.274</x:v>
      </x:c>
    </x:row>
    <x:row r="14" ht="23" customHeight="1">
      <x:c r="A14" s="28" t="str">
        <x:v>مغزها، خشکبار و خرما</x:v>
      </x:c>
      <x:c r="B14" s="60" t="n">
        <x:v>-0.9347</x:v>
      </x:c>
      <x:c r="C14" s="61" t="n">
        <x:v>-0.9563</x:v>
      </x:c>
      <x:c r="D14" s="62" t="n">
        <x:v>2.3018</x:v>
      </x:c>
      <x:c r="E14" s="61" t="n">
        <x:v>1.661</x:v>
      </x:c>
    </x:row>
    <x:row r="15" ht="23" customHeight="1">
      <x:c r="A15" s="28" t="str">
        <x:v>قند، شیرینی و تنقلات</x:v>
      </x:c>
      <x:c r="B15" s="60" t="n">
        <x:v>-0.5609</x:v>
      </x:c>
      <x:c r="C15" s="61" t="n">
        <x:v>-0.5578</x:v>
      </x:c>
      <x:c r="D15" s="62" t="n">
        <x:v>1.0287</x:v>
      </x:c>
      <x:c r="E15" s="61" t="n">
        <x:v>0.9995</x:v>
      </x:c>
    </x:row>
    <x:row r="16" ht="23" customHeight="1">
      <x:c r="A16" s="28" t="str">
        <x:v>نوشیدنی بدون نوشابه</x:v>
      </x:c>
      <x:c r="B16" s="60" t="n">
        <x:v>-0.8838</x:v>
      </x:c>
      <x:c r="C16" s="61" t="n">
        <x:v>-0.8939</x:v>
      </x:c>
      <x:c r="D16" s="62" t="n">
        <x:v>0.9645</x:v>
      </x:c>
      <x:c r="E16" s="61" t="n">
        <x:v>1.156</x:v>
      </x:c>
    </x:row>
    <x:row r="17" ht="23" customHeight="1">
      <x:c r="A17" s="28" t="str">
        <x:v>ادویه و چاشنی</x:v>
      </x:c>
      <x:c r="B17" s="60" t="n">
        <x:v>-0.4562</x:v>
      </x:c>
      <x:c r="C17" s="61" t="n">
        <x:v>-0.4547</x:v>
      </x:c>
      <x:c r="D17" s="62" t="n">
        <x:v>0.8626</x:v>
      </x:c>
      <x:c r="E17" s="61" t="n">
        <x:v>0.7204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کوهرت 1399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-1.0808</x:v>
      </x:c>
      <x:c r="C6" s="61" t="n">
        <x:v>-1.0791</x:v>
      </x:c>
      <x:c r="D6" s="62" t="n">
        <x:v>1.5658</x:v>
      </x:c>
      <x:c r="E6" s="61" t="n">
        <x:v>1.6206</x:v>
      </x:c>
    </x:row>
    <x:row r="7" ht="23" customHeight="1">
      <x:c r="A7" s="28" t="str">
        <x:v>نان و غلات</x:v>
      </x:c>
      <x:c r="B7" s="60" t="n">
        <x:v>-0.618</x:v>
      </x:c>
      <x:c r="C7" s="61" t="n">
        <x:v>-0.5788</x:v>
      </x:c>
      <x:c r="D7" s="62" t="n">
        <x:v>0.2718</x:v>
      </x:c>
      <x:c r="E7" s="61" t="n">
        <x:v>0.1433</x:v>
      </x:c>
    </x:row>
    <x:row r="8" ht="23" customHeight="1">
      <x:c r="A8" s="28" t="str">
        <x:v>گوشت</x:v>
      </x:c>
      <x:c r="B8" s="60" t="n">
        <x:v>-0.927</x:v>
      </x:c>
      <x:c r="C8" s="61" t="n">
        <x:v>-0.9379</x:v>
      </x:c>
      <x:c r="D8" s="62" t="n">
        <x:v>1.2487</x:v>
      </x:c>
      <x:c r="E8" s="61" t="n">
        <x:v>1.2695</x:v>
      </x:c>
    </x:row>
    <x:row r="9" ht="23" customHeight="1">
      <x:c r="A9" s="28" t="str">
        <x:v>لبنیات و تخم‌مرغ</x:v>
      </x:c>
      <x:c r="B9" s="60" t="n">
        <x:v>-0.8123</x:v>
      </x:c>
      <x:c r="C9" s="61" t="n">
        <x:v>-0.806</x:v>
      </x:c>
      <x:c r="D9" s="62" t="n">
        <x:v>0.8609</x:v>
      </x:c>
      <x:c r="E9" s="61" t="n">
        <x:v>0.8384</x:v>
      </x:c>
    </x:row>
    <x:row r="10" ht="23" customHeight="1">
      <x:c r="A10" s="28" t="str">
        <x:v>روغن و چربی</x:v>
      </x:c>
      <x:c r="B10" s="60" t="n">
        <x:v>-0.4985</x:v>
      </x:c>
      <x:c r="C10" s="61" t="n">
        <x:v>-0.4976</x:v>
      </x:c>
      <x:c r="D10" s="62" t="n">
        <x:v>0.7654</x:v>
      </x:c>
      <x:c r="E10" s="61" t="n">
        <x:v>1.0502</x:v>
      </x:c>
    </x:row>
    <x:row r="11" ht="23" customHeight="1">
      <x:c r="A11" s="28" t="str">
        <x:v>میوه</x:v>
      </x:c>
      <x:c r="B11" s="60" t="n">
        <x:v>-1.0759</x:v>
      </x:c>
      <x:c r="C11" s="61" t="n">
        <x:v>-1.0707</x:v>
      </x:c>
      <x:c r="D11" s="62" t="n">
        <x:v>1.3684</x:v>
      </x:c>
      <x:c r="E11" s="61" t="n">
        <x:v>1.3867</x:v>
      </x:c>
    </x:row>
    <x:row r="12" ht="23" customHeight="1">
      <x:c r="A12" s="28" t="str">
        <x:v>سبزیجات و سیب‌زمینی</x:v>
      </x:c>
      <x:c r="B12" s="60" t="n">
        <x:v>-0.4952</x:v>
      </x:c>
      <x:c r="C12" s="61" t="n">
        <x:v>-0.4835</x:v>
      </x:c>
      <x:c r="D12" s="62" t="n">
        <x:v>0.7809</x:v>
      </x:c>
      <x:c r="E12" s="61" t="n">
        <x:v>0.7238</x:v>
      </x:c>
    </x:row>
    <x:row r="13" ht="23" customHeight="1">
      <x:c r="A13" s="28" t="str">
        <x:v>حبوبات</x:v>
      </x:c>
      <x:c r="B13" s="60" t="n">
        <x:v>-0.704</x:v>
      </x:c>
      <x:c r="C13" s="61" t="n">
        <x:v>-0.7282</x:v>
      </x:c>
      <x:c r="D13" s="62" t="n">
        <x:v>1.0277</x:v>
      </x:c>
      <x:c r="E13" s="61" t="n">
        <x:v>1.2906</x:v>
      </x:c>
    </x:row>
    <x:row r="14" ht="23" customHeight="1">
      <x:c r="A14" s="28" t="str">
        <x:v>مغزها، خشکبار و خرما</x:v>
      </x:c>
      <x:c r="B14" s="60" t="n">
        <x:v>-0.935</x:v>
      </x:c>
      <x:c r="C14" s="61" t="n">
        <x:v>-0.9527</x:v>
      </x:c>
      <x:c r="D14" s="62" t="n">
        <x:v>2.2863</x:v>
      </x:c>
      <x:c r="E14" s="61" t="n">
        <x:v>1.6453</x:v>
      </x:c>
    </x:row>
    <x:row r="15" ht="23" customHeight="1">
      <x:c r="A15" s="28" t="str">
        <x:v>قند، شیرینی و تنقلات</x:v>
      </x:c>
      <x:c r="B15" s="60" t="n">
        <x:v>-0.5628</x:v>
      </x:c>
      <x:c r="C15" s="61" t="n">
        <x:v>-0.5598</x:v>
      </x:c>
      <x:c r="D15" s="62" t="n">
        <x:v>1.031</x:v>
      </x:c>
      <x:c r="E15" s="61" t="n">
        <x:v>0.9955</x:v>
      </x:c>
    </x:row>
    <x:row r="16" ht="23" customHeight="1">
      <x:c r="A16" s="28" t="str">
        <x:v>نوشیدنی بدون نوشابه</x:v>
      </x:c>
      <x:c r="B16" s="60" t="n">
        <x:v>-0.8802</x:v>
      </x:c>
      <x:c r="C16" s="61" t="n">
        <x:v>-0.8906</x:v>
      </x:c>
      <x:c r="D16" s="62" t="n">
        <x:v>0.9687</x:v>
      </x:c>
      <x:c r="E16" s="61" t="n">
        <x:v>1.1724</x:v>
      </x:c>
    </x:row>
    <x:row r="17" ht="23" customHeight="1">
      <x:c r="A17" s="28" t="str">
        <x:v>ادویه و چاشنی</x:v>
      </x:c>
      <x:c r="B17" s="60" t="n">
        <x:v>-0.4227</x:v>
      </x:c>
      <x:c r="C17" s="61" t="n">
        <x:v>-0.4204</x:v>
      </x:c>
      <x:c r="D17" s="62" t="n">
        <x:v>0.8598</x:v>
      </x:c>
      <x:c r="E17" s="61" t="n">
        <x:v>0.7028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کوهرت 1400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-1.08</x:v>
      </x:c>
      <x:c r="C6" s="61" t="n">
        <x:v>-1.0778</x:v>
      </x:c>
      <x:c r="D6" s="62" t="n">
        <x:v>1.5684</x:v>
      </x:c>
      <x:c r="E6" s="61" t="n">
        <x:v>1.6241</x:v>
      </x:c>
    </x:row>
    <x:row r="7" ht="23" customHeight="1">
      <x:c r="A7" s="28" t="str">
        <x:v>نان و غلات</x:v>
      </x:c>
      <x:c r="B7" s="60" t="n">
        <x:v>-0.576</x:v>
      </x:c>
      <x:c r="C7" s="61" t="n">
        <x:v>-0.5292</x:v>
      </x:c>
      <x:c r="D7" s="62" t="n">
        <x:v>0.1642</x:v>
      </x:c>
      <x:c r="E7" s="61" t="n">
        <x:v>0.0172</x:v>
      </x:c>
    </x:row>
    <x:row r="8" ht="23" customHeight="1">
      <x:c r="A8" s="28" t="str">
        <x:v>گوشت</x:v>
      </x:c>
      <x:c r="B8" s="60" t="n">
        <x:v>-0.9323</x:v>
      </x:c>
      <x:c r="C8" s="61" t="n">
        <x:v>-0.9433</x:v>
      </x:c>
      <x:c r="D8" s="62" t="n">
        <x:v>1.244</x:v>
      </x:c>
      <x:c r="E8" s="61" t="n">
        <x:v>1.2635</x:v>
      </x:c>
    </x:row>
    <x:row r="9" ht="23" customHeight="1">
      <x:c r="A9" s="28" t="str">
        <x:v>لبنیات و تخم‌مرغ</x:v>
      </x:c>
      <x:c r="B9" s="60" t="n">
        <x:v>-0.8202</x:v>
      </x:c>
      <x:c r="C9" s="61" t="n">
        <x:v>-0.8135</x:v>
      </x:c>
      <x:c r="D9" s="62" t="n">
        <x:v>0.8663</x:v>
      </x:c>
      <x:c r="E9" s="61" t="n">
        <x:v>0.8443</x:v>
      </x:c>
    </x:row>
    <x:row r="10" ht="23" customHeight="1">
      <x:c r="A10" s="28" t="str">
        <x:v>روغن و چربی</x:v>
      </x:c>
      <x:c r="B10" s="60" t="n">
        <x:v>-0.5358</x:v>
      </x:c>
      <x:c r="C10" s="61" t="n">
        <x:v>-0.5378</x:v>
      </x:c>
      <x:c r="D10" s="62" t="n">
        <x:v>0.8191</x:v>
      </x:c>
      <x:c r="E10" s="61" t="n">
        <x:v>1.0741</x:v>
      </x:c>
    </x:row>
    <x:row r="11" ht="23" customHeight="1">
      <x:c r="A11" s="28" t="str">
        <x:v>میوه</x:v>
      </x:c>
      <x:c r="B11" s="60" t="n">
        <x:v>-1.0558</x:v>
      </x:c>
      <x:c r="C11" s="61" t="n">
        <x:v>-1.0505</x:v>
      </x:c>
      <x:c r="D11" s="62" t="n">
        <x:v>1.3274</x:v>
      </x:c>
      <x:c r="E11" s="61" t="n">
        <x:v>1.3545</x:v>
      </x:c>
    </x:row>
    <x:row r="12" ht="23" customHeight="1">
      <x:c r="A12" s="28" t="str">
        <x:v>سبزیجات و سیب‌زمینی</x:v>
      </x:c>
      <x:c r="B12" s="60" t="n">
        <x:v>-0.4931</x:v>
      </x:c>
      <x:c r="C12" s="61" t="n">
        <x:v>-0.4794</x:v>
      </x:c>
      <x:c r="D12" s="62" t="n">
        <x:v>0.7798</x:v>
      </x:c>
      <x:c r="E12" s="61" t="n">
        <x:v>0.7211</x:v>
      </x:c>
    </x:row>
    <x:row r="13" ht="23" customHeight="1">
      <x:c r="A13" s="28" t="str">
        <x:v>حبوبات</x:v>
      </x:c>
      <x:c r="B13" s="60" t="n">
        <x:v>-0.6909</x:v>
      </x:c>
      <x:c r="C13" s="61" t="n">
        <x:v>-0.7154</x:v>
      </x:c>
      <x:c r="D13" s="62" t="n">
        <x:v>1.033</x:v>
      </x:c>
      <x:c r="E13" s="61" t="n">
        <x:v>1.3065</x:v>
      </x:c>
    </x:row>
    <x:row r="14" ht="23" customHeight="1">
      <x:c r="A14" s="28" t="str">
        <x:v>مغزها، خشکبار و خرما</x:v>
      </x:c>
      <x:c r="B14" s="60" t="n">
        <x:v>-0.9377</x:v>
      </x:c>
      <x:c r="C14" s="61" t="n">
        <x:v>-0.9545</x:v>
      </x:c>
      <x:c r="D14" s="62" t="n">
        <x:v>2.2696</x:v>
      </x:c>
      <x:c r="E14" s="61" t="n">
        <x:v>1.6411</x:v>
      </x:c>
    </x:row>
    <x:row r="15" ht="23" customHeight="1">
      <x:c r="A15" s="28" t="str">
        <x:v>قند، شیرینی و تنقلات</x:v>
      </x:c>
      <x:c r="B15" s="60" t="n">
        <x:v>-0.5671</x:v>
      </x:c>
      <x:c r="C15" s="61" t="n">
        <x:v>-0.5641</x:v>
      </x:c>
      <x:c r="D15" s="62" t="n">
        <x:v>1.0346</x:v>
      </x:c>
      <x:c r="E15" s="61" t="n">
        <x:v>0.9976</x:v>
      </x:c>
    </x:row>
    <x:row r="16" ht="23" customHeight="1">
      <x:c r="A16" s="28" t="str">
        <x:v>نوشیدنی بدون نوشابه</x:v>
      </x:c>
      <x:c r="B16" s="60" t="n">
        <x:v>-0.866</x:v>
      </x:c>
      <x:c r="C16" s="61" t="n">
        <x:v>-0.8762</x:v>
      </x:c>
      <x:c r="D16" s="62" t="n">
        <x:v>0.946</x:v>
      </x:c>
      <x:c r="E16" s="61" t="n">
        <x:v>1.1543</x:v>
      </x:c>
    </x:row>
    <x:row r="17" ht="23" customHeight="1">
      <x:c r="A17" s="28" t="str">
        <x:v>ادویه و چاشنی</x:v>
      </x:c>
      <x:c r="B17" s="60" t="n">
        <x:v>-0.4197</x:v>
      </x:c>
      <x:c r="C17" s="61" t="n">
        <x:v>-0.4163</x:v>
      </x:c>
      <x:c r="D17" s="62" t="n">
        <x:v>0.8641</x:v>
      </x:c>
      <x:c r="E17" s="61" t="n">
        <x:v>0.7049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کشش‌های تقاضا | کوهرت 1401</x:v>
      </x:c>
      <x:c r="B1" s="4"/>
      <x:c r="C1" s="4"/>
      <x:c r="D1" s="4"/>
      <x:c r="E1" s="4"/>
    </x:row>
    <x:row r="2" ht="24" customHeight="1">
      <x:c r="A2" s="9" t="str">
        <x:v>QUAIDS + Mundlak CRE + S&amp;Y + CF  •  ضرایب ثابت در ۱۲ سال / ۸ کوهرت  •  مشتق مستقیم</x:v>
      </x:c>
      <x:c r="B2" s="9"/>
      <x:c r="C2" s="9"/>
      <x:c r="D2" s="9"/>
      <x:c r="E2" s="9"/>
    </x:row>
    <x:row r="4" ht="27" customHeight="1">
      <x:c r="A4" s="13" t="str">
        <x:v>کشش قیمتی خودی مارشالی (Own-price)</x:v>
      </x:c>
      <x:c r="B4" s="13"/>
      <x:c r="C4" s="13"/>
      <x:c r="D4" s="17" t="str">
        <x:v>کشش مخارج غذایی</x:v>
      </x:c>
      <x:c r="E4" s="17"/>
    </x:row>
    <x:row r="5" ht="26" customHeight="1">
      <x:c r="A5" s="22" t="str">
        <x:v>گروه کالایی</x:v>
      </x:c>
      <x:c r="B5" s="22" t="str">
        <x:v>B1</x:v>
      </x:c>
      <x:c r="C5" s="22" t="str">
        <x:v>B2</x:v>
      </x:c>
      <x:c r="D5" s="22" t="str">
        <x:v>B1</x:v>
      </x:c>
      <x:c r="E5" s="22" t="str">
        <x:v>B2</x:v>
      </x:c>
    </x:row>
    <x:row r="6" ht="23" customHeight="1">
      <x:c r="A6" s="28" t="str">
        <x:v>برنج</x:v>
      </x:c>
      <x:c r="B6" s="60" t="n">
        <x:v>-1.0805</x:v>
      </x:c>
      <x:c r="C6" s="61" t="n">
        <x:v>-1.0782</x:v>
      </x:c>
      <x:c r="D6" s="62" t="n">
        <x:v>1.568</x:v>
      </x:c>
      <x:c r="E6" s="61" t="n">
        <x:v>1.6254</x:v>
      </x:c>
    </x:row>
    <x:row r="7" ht="23" customHeight="1">
      <x:c r="A7" s="28" t="str">
        <x:v>نان و غلات</x:v>
      </x:c>
      <x:c r="B7" s="60" t="n">
        <x:v>-0.5201</x:v>
      </x:c>
      <x:c r="C7" s="61" t="n">
        <x:v>-0.4608</x:v>
      </x:c>
      <x:c r="D7" s="62" t="n">
        <x:v>0.0041</x:v>
      </x:c>
      <x:c r="E7" s="61" t="n">
        <x:v>-0.1799</x:v>
      </x:c>
    </x:row>
    <x:row r="8" ht="23" customHeight="1">
      <x:c r="A8" s="28" t="str">
        <x:v>گوشت</x:v>
      </x:c>
      <x:c r="B8" s="60" t="n">
        <x:v>-0.9391</x:v>
      </x:c>
      <x:c r="C8" s="61" t="n">
        <x:v>-0.9503</x:v>
      </x:c>
      <x:c r="D8" s="62" t="n">
        <x:v>1.2378</x:v>
      </x:c>
      <x:c r="E8" s="61" t="n">
        <x:v>1.2556</x:v>
      </x:c>
    </x:row>
    <x:row r="9" ht="23" customHeight="1">
      <x:c r="A9" s="28" t="str">
        <x:v>لبنیات و تخم‌مرغ</x:v>
      </x:c>
      <x:c r="B9" s="60" t="n">
        <x:v>-0.8177</x:v>
      </x:c>
      <x:c r="C9" s="61" t="n">
        <x:v>-0.8104</x:v>
      </x:c>
      <x:c r="D9" s="62" t="n">
        <x:v>0.8618</x:v>
      </x:c>
      <x:c r="E9" s="61" t="n">
        <x:v>0.8392</x:v>
      </x:c>
    </x:row>
    <x:row r="10" ht="23" customHeight="1">
      <x:c r="A10" s="28" t="str">
        <x:v>روغن و چربی</x:v>
      </x:c>
      <x:c r="B10" s="60" t="n">
        <x:v>-0.5463</x:v>
      </x:c>
      <x:c r="C10" s="61" t="n">
        <x:v>-0.5494</x:v>
      </x:c>
      <x:c r="D10" s="62" t="n">
        <x:v>0.8441</x:v>
      </x:c>
      <x:c r="E10" s="61" t="n">
        <x:v>1.089</x:v>
      </x:c>
    </x:row>
    <x:row r="11" ht="23" customHeight="1">
      <x:c r="A11" s="28" t="str">
        <x:v>میوه</x:v>
      </x:c>
      <x:c r="B11" s="60" t="n">
        <x:v>-1.0668</x:v>
      </x:c>
      <x:c r="C11" s="61" t="n">
        <x:v>-1.0613</x:v>
      </x:c>
      <x:c r="D11" s="62" t="n">
        <x:v>1.366</x:v>
      </x:c>
      <x:c r="E11" s="61" t="n">
        <x:v>1.3906</x:v>
      </x:c>
    </x:row>
    <x:row r="12" ht="23" customHeight="1">
      <x:c r="A12" s="28" t="str">
        <x:v>سبزیجات و سیب‌زمینی</x:v>
      </x:c>
      <x:c r="B12" s="60" t="n">
        <x:v>-0.5052</x:v>
      </x:c>
      <x:c r="C12" s="61" t="n">
        <x:v>-0.4908</x:v>
      </x:c>
      <x:c r="D12" s="62" t="n">
        <x:v>0.7867</x:v>
      </x:c>
      <x:c r="E12" s="61" t="n">
        <x:v>0.729</x:v>
      </x:c>
    </x:row>
    <x:row r="13" ht="23" customHeight="1">
      <x:c r="A13" s="28" t="str">
        <x:v>حبوبات</x:v>
      </x:c>
      <x:c r="B13" s="60" t="n">
        <x:v>-0.6975</x:v>
      </x:c>
      <x:c r="C13" s="61" t="n">
        <x:v>-0.7212</x:v>
      </x:c>
      <x:c r="D13" s="62" t="n">
        <x:v>1.0441</x:v>
      </x:c>
      <x:c r="E13" s="61" t="n">
        <x:v>1.3123</x:v>
      </x:c>
    </x:row>
    <x:row r="14" ht="23" customHeight="1">
      <x:c r="A14" s="28" t="str">
        <x:v>مغزها، خشکبار و خرما</x:v>
      </x:c>
      <x:c r="B14" s="60" t="n">
        <x:v>-0.9266</x:v>
      </x:c>
      <x:c r="C14" s="61" t="n">
        <x:v>-0.9443</x:v>
      </x:c>
      <x:c r="D14" s="62" t="n">
        <x:v>2.2761</x:v>
      </x:c>
      <x:c r="E14" s="61" t="n">
        <x:v>1.6216</x:v>
      </x:c>
    </x:row>
    <x:row r="15" ht="23" customHeight="1">
      <x:c r="A15" s="28" t="str">
        <x:v>قند، شیرینی و تنقلات</x:v>
      </x:c>
      <x:c r="B15" s="60" t="n">
        <x:v>-0.5829</x:v>
      </x:c>
      <x:c r="C15" s="61" t="n">
        <x:v>-0.5806</x:v>
      </x:c>
      <x:c r="D15" s="62" t="n">
        <x:v>1.0391</x:v>
      </x:c>
      <x:c r="E15" s="61" t="n">
        <x:v>0.9997</x:v>
      </x:c>
    </x:row>
    <x:row r="16" ht="23" customHeight="1">
      <x:c r="A16" s="28" t="str">
        <x:v>نوشیدنی بدون نوشابه</x:v>
      </x:c>
      <x:c r="B16" s="60" t="n">
        <x:v>-0.8735</x:v>
      </x:c>
      <x:c r="C16" s="61" t="n">
        <x:v>-0.8842</x:v>
      </x:c>
      <x:c r="D16" s="62" t="n">
        <x:v>0.9673</x:v>
      </x:c>
      <x:c r="E16" s="61" t="n">
        <x:v>1.1814</x:v>
      </x:c>
    </x:row>
    <x:row r="17" ht="23" customHeight="1">
      <x:c r="A17" s="28" t="str">
        <x:v>ادویه و چاشنی</x:v>
      </x:c>
      <x:c r="B17" s="60" t="n">
        <x:v>-0.4206</x:v>
      </x:c>
      <x:c r="C17" s="61" t="n">
        <x:v>-0.417</x:v>
      </x:c>
      <x:c r="D17" s="62" t="n">
        <x:v>0.8738</x:v>
      </x:c>
      <x:c r="E17" s="61" t="n">
        <x:v>0.7157</x:v>
      </x:c>
    </x:row>
    <x:row r="19" ht="21" customHeight="1">
      <x:c r="A19" s="42" t="str">
        <x:v>نقطهٔ ارزیابی: میانگین لگاریتم قیمت و مخارج، و میانگین کنترل‌ها در زیرنمونهٔ مربوط</x:v>
      </x:c>
      <x:c r="B19" s="42"/>
      <x:c r="C19" s="42"/>
      <x:c r="D19" s="42"/>
      <x:c r="E19" s="42"/>
    </x:row>
    <x:row r="20" ht="22" customHeight="1">
      <x:c r="A20" s="44" t="str">
        <x:v>منبع: https://github.com/sinaamiri9000-collab/paneldemand/blob/eadde5b/pilot/fixed_parameter_elasticities/report.md</x:v>
      </x:c>
      <x:c r="B20" s="44"/>
      <x:c r="C20" s="44"/>
      <x:c r="D20" s="44"/>
      <x:c r="E20" s="44"/>
    </x:row>
  </x:sheetData>
  <x:mergeCells>
    <x:mergeCell ref="A1:E1"/>
    <x:mergeCell ref="A2:E2"/>
    <x:mergeCell ref="A4:C4"/>
    <x:mergeCell ref="D4:E4"/>
    <x:mergeCell ref="A19:E19"/>
    <x:mergeCell ref="A20:E20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5" max="5" width="4" hidden="0" customWidth="1"/>
    <x:col min="6" max="6" width="30" hidden="0" customWidth="1"/>
    <x:col min="2" max="2" width="16" hidden="0" customWidth="1"/>
    <x:col min="3" max="3" width="16" hidden="0" customWidth="1"/>
    <x:col min="4" max="4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6" customHeight="1">
      <x:c r="A1" s="3" t="str">
        <x:v>خلاصهٔ دامنهٔ تغییر کشش‌ها | ۱۲ سال و ۸ کوهرت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9" t="str">
        <x:v>کمینه، بیشینه و دامنه از شیت‌های سال/کوهرت محاسبه می‌شوند؛ ضرایب B1 و B2 در تمام نقاط ثابت‌اند.</x:v>
      </x:c>
      <x:c r="B2" s="9"/>
      <x:c r="C2" s="9"/>
      <x:c r="D2" s="9"/>
      <x:c r="E2" s="9"/>
      <x:c r="F2" s="9"/>
      <x:c r="G2" s="9"/>
      <x:c r="H2" s="9"/>
      <x:c r="I2" s="9"/>
    </x:row>
    <x:row r="4" ht="27" customHeight="1">
      <x:c r="A4" s="13" t="str">
        <x:v>سالانه • کشش قیمتی خودی | B1</x:v>
      </x:c>
      <x:c r="B4" s="13"/>
      <x:c r="C4" s="13"/>
      <x:c r="D4" s="13"/>
      <x:c r="F4" s="53" t="str">
        <x:v>سالانه • کشش قیمتی خودی | B2</x:v>
      </x:c>
      <x:c r="G4" s="53"/>
      <x:c r="H4" s="53"/>
      <x:c r="I4" s="53"/>
    </x:row>
    <x:row r="5" ht="23" customHeight="1">
      <x:c r="A5" s="46" t="str">
        <x:v>گروه کالایی</x:v>
      </x:c>
      <x:c r="B5" s="46" t="str">
        <x:v>کمینه</x:v>
      </x:c>
      <x:c r="C5" s="46" t="str">
        <x:v>بیشینه</x:v>
      </x:c>
      <x:c r="D5" s="46" t="str">
        <x:v>دامنه</x:v>
      </x:c>
      <x:c r="F5" s="57" t="str">
        <x:v>گروه کالایی</x:v>
      </x:c>
      <x:c r="G5" s="57" t="str">
        <x:v>کمینه</x:v>
      </x:c>
      <x:c r="H5" s="57" t="str">
        <x:v>بیشینه</x:v>
      </x:c>
      <x:c r="I5" s="57" t="str">
        <x:v>دامنه</x:v>
      </x:c>
    </x:row>
    <x:row r="6" ht="22" customHeight="1">
      <x:c r="A6" t="str">
        <x:v>برنج</x:v>
      </x:c>
      <x:c r="B6" s="60" t="n">
        <x:f>MIN('سال 1392'!B6,'سال 1393'!B6,'سال 1394'!B6,'سال 1395'!B6,'سال 1396'!B6,'سال 1397'!B6,'سال 1398'!B6,'سال 1399'!B6,'سال 1400'!B6,'سال 1401'!B6,'سال 1402'!B6,'سال 1403'!B6)</x:f>
        <x:v>-1.0822</x:v>
      </x:c>
      <x:c r="C6" s="60" t="n">
        <x:f>MAX('سال 1392'!B6,'سال 1393'!B6,'سال 1394'!B6,'سال 1395'!B6,'سال 1396'!B6,'سال 1397'!B6,'سال 1398'!B6,'سال 1399'!B6,'سال 1400'!B6,'سال 1401'!B6,'سال 1402'!B6,'سال 1403'!B6)</x:f>
        <x:v>-1.0737</x:v>
      </x:c>
      <x:c r="D6" s="66" t="n">
        <x:f>C6-B6</x:f>
        <x:v>0.008499999999999952</x:v>
      </x:c>
      <x:c r="F6" t="str">
        <x:v>برنج</x:v>
      </x:c>
      <x:c r="G6" s="61" t="n">
        <x:f>MIN('سال 1392'!C6,'سال 1393'!C6,'سال 1394'!C6,'سال 1395'!C6,'سال 1396'!C6,'سال 1397'!C6,'سال 1398'!C6,'سال 1399'!C6,'سال 1400'!C6,'سال 1401'!C6,'سال 1402'!C6,'سال 1403'!C6)</x:f>
        <x:v>-1.0809</x:v>
      </x:c>
      <x:c r="H6" s="61" t="n">
        <x:f>MAX('سال 1392'!C6,'سال 1393'!C6,'سال 1394'!C6,'سال 1395'!C6,'سال 1396'!C6,'سال 1397'!C6,'سال 1398'!C6,'سال 1399'!C6,'سال 1400'!C6,'سال 1401'!C6,'سال 1402'!C6,'سال 1403'!C6)</x:f>
        <x:v>-1.0705</x:v>
      </x:c>
      <x:c r="I6" s="66" t="n">
        <x:f>H6-G6</x:f>
        <x:v>0.010399999999999965</x:v>
      </x:c>
    </x:row>
    <x:row r="7" ht="22" customHeight="1">
      <x:c r="A7" t="str">
        <x:v>نان و غلات</x:v>
      </x:c>
      <x:c r="B7" s="60" t="n">
        <x:f>MIN('سال 1392'!B7,'سال 1393'!B7,'سال 1394'!B7,'سال 1395'!B7,'سال 1396'!B7,'سال 1397'!B7,'سال 1398'!B7,'سال 1399'!B7,'سال 1400'!B7,'سال 1401'!B7,'سال 1402'!B7,'سال 1403'!B7)</x:f>
        <x:v>-0.7459</x:v>
      </x:c>
      <x:c r="C7" s="60" t="n">
        <x:f>MAX('سال 1392'!B7,'سال 1393'!B7,'سال 1394'!B7,'سال 1395'!B7,'سال 1396'!B7,'سال 1397'!B7,'سال 1398'!B7,'سال 1399'!B7,'سال 1400'!B7,'سال 1401'!B7,'سال 1402'!B7,'سال 1403'!B7)</x:f>
        <x:v>-0.4368</x:v>
      </x:c>
      <x:c r="D7" s="66" t="n">
        <x:f>C7-B7</x:f>
        <x:v>0.3091</x:v>
      </x:c>
      <x:c r="F7" t="str">
        <x:v>نان و غلات</x:v>
      </x:c>
      <x:c r="G7" s="61" t="n">
        <x:f>MIN('سال 1392'!C7,'سال 1393'!C7,'سال 1394'!C7,'سال 1395'!C7,'سال 1396'!C7,'سال 1397'!C7,'سال 1398'!C7,'سال 1399'!C7,'سال 1400'!C7,'سال 1401'!C7,'سال 1402'!C7,'سال 1403'!C7)</x:f>
        <x:v>-0.72</x:v>
      </x:c>
      <x:c r="H7" s="61" t="n">
        <x:f>MAX('سال 1392'!C7,'سال 1393'!C7,'سال 1394'!C7,'سال 1395'!C7,'سال 1396'!C7,'سال 1397'!C7,'سال 1398'!C7,'سال 1399'!C7,'سال 1400'!C7,'سال 1401'!C7,'سال 1402'!C7,'سال 1403'!C7)</x:f>
        <x:v>-0.3696</x:v>
      </x:c>
      <x:c r="I7" s="66" t="n">
        <x:f>H7-G7</x:f>
        <x:v>0.3504</x:v>
      </x:c>
    </x:row>
    <x:row r="8" ht="22" customHeight="1">
      <x:c r="A8" t="str">
        <x:v>گوشت</x:v>
      </x:c>
      <x:c r="B8" s="60" t="n">
        <x:f>MIN('سال 1392'!B8,'سال 1393'!B8,'سال 1394'!B8,'سال 1395'!B8,'سال 1396'!B8,'سال 1397'!B8,'سال 1398'!B8,'سال 1399'!B8,'سال 1400'!B8,'سال 1401'!B8,'سال 1402'!B8,'سال 1403'!B8)</x:f>
        <x:v>-0.9461</x:v>
      </x:c>
      <x:c r="C8" s="60" t="n">
        <x:f>MAX('سال 1392'!B8,'سال 1393'!B8,'سال 1394'!B8,'سال 1395'!B8,'سال 1396'!B8,'سال 1397'!B8,'سال 1398'!B8,'سال 1399'!B8,'سال 1400'!B8,'سال 1401'!B8,'سال 1402'!B8,'سال 1403'!B8)</x:f>
        <x:v>-0.9072</x:v>
      </x:c>
      <x:c r="D8" s="66" t="n">
        <x:f>C8-B8</x:f>
        <x:v>0.038900000000000046</x:v>
      </x:c>
      <x:c r="F8" t="str">
        <x:v>گوشت</x:v>
      </x:c>
      <x:c r="G8" s="61" t="n">
        <x:f>MIN('سال 1392'!C8,'سال 1393'!C8,'سال 1394'!C8,'سال 1395'!C8,'سال 1396'!C8,'سال 1397'!C8,'سال 1398'!C8,'سال 1399'!C8,'سال 1400'!C8,'سال 1401'!C8,'سال 1402'!C8,'سال 1403'!C8)</x:f>
        <x:v>-0.9565</x:v>
      </x:c>
      <x:c r="H8" s="61" t="n">
        <x:f>MAX('سال 1392'!C8,'سال 1393'!C8,'سال 1394'!C8,'سال 1395'!C8,'سال 1396'!C8,'سال 1397'!C8,'سال 1398'!C8,'سال 1399'!C8,'سال 1400'!C8,'سال 1401'!C8,'سال 1402'!C8,'سال 1403'!C8)</x:f>
        <x:v>-0.9183</x:v>
      </x:c>
      <x:c r="I8" s="66" t="n">
        <x:f>H8-G8</x:f>
        <x:v>0.03820000000000001</x:v>
      </x:c>
    </x:row>
    <x:row r="9" ht="22" customHeight="1">
      <x:c r="A9" t="str">
        <x:v>لبنیات و تخم‌مرغ</x:v>
      </x:c>
      <x:c r="B9" s="60" t="n">
        <x:f>MIN('سال 1392'!B9,'سال 1393'!B9,'سال 1394'!B9,'سال 1395'!B9,'سال 1396'!B9,'سال 1397'!B9,'سال 1398'!B9,'سال 1399'!B9,'سال 1400'!B9,'سال 1401'!B9,'سال 1402'!B9,'سال 1403'!B9)</x:f>
        <x:v>-0.8264</x:v>
      </x:c>
      <x:c r="C9" s="60" t="n">
        <x:f>MAX('سال 1392'!B9,'سال 1393'!B9,'سال 1394'!B9,'سال 1395'!B9,'سال 1396'!B9,'سال 1397'!B9,'سال 1398'!B9,'سال 1399'!B9,'سال 1400'!B9,'سال 1401'!B9,'سال 1402'!B9,'سال 1403'!B9)</x:f>
        <x:v>-0.7824</x:v>
      </x:c>
      <x:c r="D9" s="66" t="n">
        <x:f>C9-B9</x:f>
        <x:v>0.04400000000000004</x:v>
      </x:c>
      <x:c r="F9" t="str">
        <x:v>لبنیات و تخم‌مرغ</x:v>
      </x:c>
      <x:c r="G9" s="61" t="n">
        <x:f>MIN('سال 1392'!C9,'سال 1393'!C9,'سال 1394'!C9,'سال 1395'!C9,'سال 1396'!C9,'سال 1397'!C9,'سال 1398'!C9,'سال 1399'!C9,'سال 1400'!C9,'سال 1401'!C9,'سال 1402'!C9,'سال 1403'!C9)</x:f>
        <x:v>-0.8195</x:v>
      </x:c>
      <x:c r="H9" s="61" t="n">
        <x:f>MAX('سال 1392'!C9,'سال 1393'!C9,'سال 1394'!C9,'سال 1395'!C9,'سال 1396'!C9,'سال 1397'!C9,'سال 1398'!C9,'سال 1399'!C9,'سال 1400'!C9,'سال 1401'!C9,'سال 1402'!C9,'سال 1403'!C9)</x:f>
        <x:v>-0.7772</x:v>
      </x:c>
      <x:c r="I9" s="66" t="n">
        <x:f>H9-G9</x:f>
        <x:v>0.042300000000000004</x:v>
      </x:c>
    </x:row>
    <x:row r="10" ht="22" customHeight="1">
      <x:c r="A10" t="str">
        <x:v>روغن و چربی</x:v>
      </x:c>
      <x:c r="B10" s="60" t="n">
        <x:f>MIN('سال 1392'!B10,'سال 1393'!B10,'سال 1394'!B10,'سال 1395'!B10,'سال 1396'!B10,'سال 1397'!B10,'سال 1398'!B10,'سال 1399'!B10,'سال 1400'!B10,'سال 1401'!B10,'سال 1402'!B10,'سال 1403'!B10)</x:f>
        <x:v>-0.6102</x:v>
      </x:c>
      <x:c r="C10" s="60" t="n">
        <x:f>MAX('سال 1392'!B10,'سال 1393'!B10,'سال 1394'!B10,'سال 1395'!B10,'سال 1396'!B10,'سال 1397'!B10,'سال 1398'!B10,'سال 1399'!B10,'سال 1400'!B10,'سال 1401'!B10,'سال 1402'!B10,'سال 1403'!B10)</x:f>
        <x:v>-0.385</x:v>
      </x:c>
      <x:c r="D10" s="66" t="n">
        <x:f>C10-B10</x:f>
        <x:v>0.22519999999999996</x:v>
      </x:c>
      <x:c r="F10" t="str">
        <x:v>روغن و چربی</x:v>
      </x:c>
      <x:c r="G10" s="61" t="n">
        <x:f>MIN('سال 1392'!C10,'سال 1393'!C10,'سال 1394'!C10,'سال 1395'!C10,'سال 1396'!C10,'سال 1397'!C10,'سال 1398'!C10,'سال 1399'!C10,'سال 1400'!C10,'سال 1401'!C10,'سال 1402'!C10,'سال 1403'!C10)</x:f>
        <x:v>-0.6157</x:v>
      </x:c>
      <x:c r="H10" s="61" t="n">
        <x:f>MAX('سال 1392'!C10,'سال 1393'!C10,'سال 1394'!C10,'سال 1395'!C10,'سال 1396'!C10,'سال 1397'!C10,'سال 1398'!C10,'سال 1399'!C10,'سال 1400'!C10,'سال 1401'!C10,'سال 1402'!C10,'سال 1403'!C10)</x:f>
        <x:v>-0.3792</x:v>
      </x:c>
      <x:c r="I10" s="66" t="n">
        <x:f>H10-G10</x:f>
        <x:v>0.23650000000000004</x:v>
      </x:c>
    </x:row>
    <x:row r="11" ht="22" customHeight="1">
      <x:c r="A11" t="str">
        <x:v>میوه</x:v>
      </x:c>
      <x:c r="B11" s="60" t="n">
        <x:f>MIN('سال 1392'!B11,'سال 1393'!B11,'سال 1394'!B11,'سال 1395'!B11,'سال 1396'!B11,'سال 1397'!B11,'سال 1398'!B11,'سال 1399'!B11,'سال 1400'!B11,'سال 1401'!B11,'سال 1402'!B11,'سال 1403'!B11)</x:f>
        <x:v>-1.1068</x:v>
      </x:c>
      <x:c r="C11" s="60" t="n">
        <x:f>MAX('سال 1392'!B11,'سال 1393'!B11,'سال 1394'!B11,'سال 1395'!B11,'سال 1396'!B11,'سال 1397'!B11,'سال 1398'!B11,'سال 1399'!B11,'سال 1400'!B11,'سال 1401'!B11,'سال 1402'!B11,'سال 1403'!B11)</x:f>
        <x:v>-1.0188</x:v>
      </x:c>
      <x:c r="D11" s="66" t="n">
        <x:f>C11-B11</x:f>
        <x:v>0.08800000000000008</x:v>
      </x:c>
      <x:c r="F11" t="str">
        <x:v>میوه</x:v>
      </x:c>
      <x:c r="G11" s="61" t="n">
        <x:f>MIN('سال 1392'!C11,'سال 1393'!C11,'سال 1394'!C11,'سال 1395'!C11,'سال 1396'!C11,'سال 1397'!C11,'سال 1398'!C11,'سال 1399'!C11,'سال 1400'!C11,'سال 1401'!C11,'سال 1402'!C11,'سال 1403'!C11)</x:f>
        <x:v>-1.101</x:v>
      </x:c>
      <x:c r="H11" s="61" t="n">
        <x:f>MAX('سال 1392'!C11,'سال 1393'!C11,'سال 1394'!C11,'سال 1395'!C11,'سال 1396'!C11,'سال 1397'!C11,'سال 1398'!C11,'سال 1399'!C11,'سال 1400'!C11,'سال 1401'!C11,'سال 1402'!C11,'سال 1403'!C11)</x:f>
        <x:v>-1.0137</x:v>
      </x:c>
      <x:c r="I11" s="66" t="n">
        <x:f>H11-G11</x:f>
        <x:v>0.08729999999999993</x:v>
      </x:c>
    </x:row>
    <x:row r="12" ht="22" customHeight="1">
      <x:c r="A12" t="str">
        <x:v>سبزیجات و سیب‌زمینی</x:v>
      </x:c>
      <x:c r="B12" s="60" t="n">
        <x:f>MIN('سال 1392'!B12,'سال 1393'!B12,'سال 1394'!B12,'سال 1395'!B12,'سال 1396'!B12,'سال 1397'!B12,'سال 1398'!B12,'سال 1399'!B12,'سال 1400'!B12,'سال 1401'!B12,'سال 1402'!B12,'سال 1403'!B12)</x:f>
        <x:v>-0.5169</x:v>
      </x:c>
      <x:c r="C12" s="60" t="n">
        <x:f>MAX('سال 1392'!B12,'سال 1393'!B12,'سال 1394'!B12,'سال 1395'!B12,'سال 1396'!B12,'سال 1397'!B12,'سال 1398'!B12,'سال 1399'!B12,'سال 1400'!B12,'سال 1401'!B12,'سال 1402'!B12,'سال 1403'!B12)</x:f>
        <x:v>-0.3446</x:v>
      </x:c>
      <x:c r="D12" s="66" t="n">
        <x:f>C12-B12</x:f>
        <x:v>0.1723</x:v>
      </x:c>
      <x:c r="F12" t="str">
        <x:v>سبزیجات و سیب‌زمینی</x:v>
      </x:c>
      <x:c r="G12" s="61" t="n">
        <x:f>MIN('سال 1392'!C12,'سال 1393'!C12,'سال 1394'!C12,'سال 1395'!C12,'سال 1396'!C12,'سال 1397'!C12,'سال 1398'!C12,'سال 1399'!C12,'سال 1400'!C12,'سال 1401'!C12,'سال 1402'!C12,'سال 1403'!C12)</x:f>
        <x:v>-0.5036</x:v>
      </x:c>
      <x:c r="H12" s="61" t="n">
        <x:f>MAX('سال 1392'!C12,'سال 1393'!C12,'سال 1394'!C12,'سال 1395'!C12,'سال 1396'!C12,'سال 1397'!C12,'سال 1398'!C12,'سال 1399'!C12,'سال 1400'!C12,'سال 1401'!C12,'سال 1402'!C12,'سال 1403'!C12)</x:f>
        <x:v>-0.3322</x:v>
      </x:c>
      <x:c r="I12" s="66" t="n">
        <x:f>H12-G12</x:f>
        <x:v>0.17140000000000005</x:v>
      </x:c>
    </x:row>
    <x:row r="13" ht="22" customHeight="1">
      <x:c r="A13" t="str">
        <x:v>حبوبات</x:v>
      </x:c>
      <x:c r="B13" s="60" t="n">
        <x:f>MIN('سال 1392'!B13,'سال 1393'!B13,'سال 1394'!B13,'سال 1395'!B13,'سال 1396'!B13,'سال 1397'!B13,'سال 1398'!B13,'سال 1399'!B13,'سال 1400'!B13,'سال 1401'!B13,'سال 1402'!B13,'سال 1403'!B13)</x:f>
        <x:v>-0.7141</x:v>
      </x:c>
      <x:c r="C13" s="60" t="n">
        <x:f>MAX('سال 1392'!B13,'سال 1393'!B13,'سال 1394'!B13,'سال 1395'!B13,'سال 1396'!B13,'سال 1397'!B13,'سال 1398'!B13,'سال 1399'!B13,'سال 1400'!B13,'سال 1401'!B13,'سال 1402'!B13,'سال 1403'!B13)</x:f>
        <x:v>-0.6743</x:v>
      </x:c>
      <x:c r="D13" s="66" t="n">
        <x:f>C13-B13</x:f>
        <x:v>0.03979999999999995</x:v>
      </x:c>
      <x:c r="F13" t="str">
        <x:v>حبوبات</x:v>
      </x:c>
      <x:c r="G13" s="61" t="n">
        <x:f>MIN('سال 1392'!C13,'سال 1393'!C13,'سال 1394'!C13,'سال 1395'!C13,'سال 1396'!C13,'سال 1397'!C13,'سال 1398'!C13,'سال 1399'!C13,'سال 1400'!C13,'سال 1401'!C13,'سال 1402'!C13,'سال 1403'!C13)</x:f>
        <x:v>-0.7381</x:v>
      </x:c>
      <x:c r="H13" s="61" t="n">
        <x:f>MAX('سال 1392'!C13,'سال 1393'!C13,'سال 1394'!C13,'سال 1395'!C13,'سال 1396'!C13,'سال 1397'!C13,'سال 1398'!C13,'سال 1399'!C13,'سال 1400'!C13,'سال 1401'!C13,'سال 1402'!C13,'سال 1403'!C13)</x:f>
        <x:v>-0.6986</x:v>
      </x:c>
      <x:c r="I13" s="66" t="n">
        <x:f>H13-G13</x:f>
        <x:v>0.03949999999999998</x:v>
      </x:c>
    </x:row>
    <x:row r="14" ht="22" customHeight="1">
      <x:c r="A14" t="str">
        <x:v>مغزها، خشکبار و خرما</x:v>
      </x:c>
      <x:c r="B14" s="60" t="n">
        <x:f>MIN('سال 1392'!B14,'سال 1393'!B14,'سال 1394'!B14,'سال 1395'!B14,'سال 1396'!B14,'سال 1397'!B14,'سال 1398'!B14,'سال 1399'!B14,'سال 1400'!B14,'سال 1401'!B14,'سال 1402'!B14,'سال 1403'!B14)</x:f>
        <x:v>-1.0033</x:v>
      </x:c>
      <x:c r="C14" s="60" t="n">
        <x:f>MAX('سال 1392'!B14,'سال 1393'!B14,'سال 1394'!B14,'سال 1395'!B14,'سال 1396'!B14,'سال 1397'!B14,'سال 1398'!B14,'سال 1399'!B14,'سال 1400'!B14,'سال 1401'!B14,'سال 1402'!B14,'سال 1403'!B14)</x:f>
        <x:v>-0.9187</x:v>
      </x:c>
      <x:c r="D14" s="66" t="n">
        <x:f>C14-B14</x:f>
        <x:v>0.08460000000000012</x:v>
      </x:c>
      <x:c r="F14" t="str">
        <x:v>مغزها، خشکبار و خرما</x:v>
      </x:c>
      <x:c r="G14" s="61" t="n">
        <x:f>MIN('سال 1392'!C14,'سال 1393'!C14,'سال 1394'!C14,'سال 1395'!C14,'سال 1396'!C14,'سال 1397'!C14,'سال 1398'!C14,'سال 1399'!C14,'سال 1400'!C14,'سال 1401'!C14,'سال 1402'!C14,'سال 1403'!C14)</x:f>
        <x:v>-1.0109</x:v>
      </x:c>
      <x:c r="H14" s="61" t="n">
        <x:f>MAX('سال 1392'!C14,'سال 1393'!C14,'سال 1394'!C14,'سال 1395'!C14,'سال 1396'!C14,'سال 1397'!C14,'سال 1398'!C14,'سال 1399'!C14,'سال 1400'!C14,'سال 1401'!C14,'سال 1402'!C14,'سال 1403'!C14)</x:f>
        <x:v>-0.9401</x:v>
      </x:c>
      <x:c r="I14" s="66" t="n">
        <x:f>H14-G14</x:f>
        <x:v>0.07079999999999986</x:v>
      </x:c>
    </x:row>
    <x:row r="15" ht="22" customHeight="1">
      <x:c r="A15" t="str">
        <x:v>قند، شیرینی و تنقلات</x:v>
      </x:c>
      <x:c r="B15" s="60" t="n">
        <x:f>MIN('سال 1392'!B15,'سال 1393'!B15,'سال 1394'!B15,'سال 1395'!B15,'سال 1396'!B15,'سال 1397'!B15,'سال 1398'!B15,'سال 1399'!B15,'سال 1400'!B15,'سال 1401'!B15,'سال 1402'!B15,'سال 1403'!B15)</x:f>
        <x:v>-0.601</x:v>
      </x:c>
      <x:c r="C15" s="60" t="n">
        <x:f>MAX('سال 1392'!B15,'سال 1393'!B15,'سال 1394'!B15,'سال 1395'!B15,'سال 1396'!B15,'سال 1397'!B15,'سال 1398'!B15,'سال 1399'!B15,'سال 1400'!B15,'سال 1401'!B15,'سال 1402'!B15,'سال 1403'!B15)</x:f>
        <x:v>-0.4813</x:v>
      </x:c>
      <x:c r="D15" s="66" t="n">
        <x:f>C15-B15</x:f>
        <x:v>0.11969999999999997</x:v>
      </x:c>
      <x:c r="F15" t="str">
        <x:v>قند، شیرینی و تنقلات</x:v>
      </x:c>
      <x:c r="G15" s="61" t="n">
        <x:f>MIN('سال 1392'!C15,'سال 1393'!C15,'سال 1394'!C15,'سال 1395'!C15,'سال 1396'!C15,'سال 1397'!C15,'سال 1398'!C15,'سال 1399'!C15,'سال 1400'!C15,'سال 1401'!C15,'سال 1402'!C15,'سال 1403'!C15)</x:f>
        <x:v>-0.5979</x:v>
      </x:c>
      <x:c r="H15" s="61" t="n">
        <x:f>MAX('سال 1392'!C15,'سال 1393'!C15,'سال 1394'!C15,'سال 1395'!C15,'سال 1396'!C15,'سال 1397'!C15,'سال 1398'!C15,'سال 1399'!C15,'سال 1400'!C15,'سال 1401'!C15,'سال 1402'!C15,'سال 1403'!C15)</x:f>
        <x:v>-0.4791</x:v>
      </x:c>
      <x:c r="I15" s="66" t="n">
        <x:f>H15-G15</x:f>
        <x:v>0.11879999999999996</x:v>
      </x:c>
    </x:row>
    <x:row r="16" ht="22" customHeight="1">
      <x:c r="A16" t="str">
        <x:v>نوشیدنی بدون نوشابه</x:v>
      </x:c>
      <x:c r="B16" s="60" t="n">
        <x:f>MIN('سال 1392'!B16,'سال 1393'!B16,'سال 1394'!B16,'سال 1395'!B16,'سال 1396'!B16,'سال 1397'!B16,'سال 1398'!B16,'سال 1399'!B16,'سال 1400'!B16,'سال 1401'!B16,'سال 1402'!B16,'سال 1403'!B16)</x:f>
        <x:v>-0.892</x:v>
      </x:c>
      <x:c r="C16" s="60" t="n">
        <x:f>MAX('سال 1392'!B16,'سال 1393'!B16,'سال 1394'!B16,'سال 1395'!B16,'سال 1396'!B16,'سال 1397'!B16,'سال 1398'!B16,'سال 1399'!B16,'سال 1400'!B16,'سال 1401'!B16,'سال 1402'!B16,'سال 1403'!B16)</x:f>
        <x:v>-0.8095</x:v>
      </x:c>
      <x:c r="D16" s="66" t="n">
        <x:f>C16-B16</x:f>
        <x:v>0.08250000000000002</x:v>
      </x:c>
      <x:c r="F16" t="str">
        <x:v>نوشیدنی بدون نوشابه</x:v>
      </x:c>
      <x:c r="G16" s="61" t="n">
        <x:f>MIN('سال 1392'!C16,'سال 1393'!C16,'سال 1394'!C16,'سال 1395'!C16,'سال 1396'!C16,'سال 1397'!C16,'سال 1398'!C16,'سال 1399'!C16,'سال 1400'!C16,'سال 1401'!C16,'سال 1402'!C16,'سال 1403'!C16)</x:f>
        <x:v>-0.9027</x:v>
      </x:c>
      <x:c r="H16" s="61" t="n">
        <x:f>MAX('سال 1392'!C16,'سال 1393'!C16,'سال 1394'!C16,'سال 1395'!C16,'سال 1396'!C16,'سال 1397'!C16,'سال 1398'!C16,'سال 1399'!C16,'سال 1400'!C16,'سال 1401'!C16,'سال 1402'!C16,'سال 1403'!C16)</x:f>
        <x:v>-0.819</x:v>
      </x:c>
      <x:c r="I16" s="66" t="n">
        <x:f>H16-G16</x:f>
        <x:v>0.0837</x:v>
      </x:c>
    </x:row>
    <x:row r="17" ht="22" customHeight="1">
      <x:c r="A17" t="str">
        <x:v>ادویه و چاشنی</x:v>
      </x:c>
      <x:c r="B17" s="60" t="n">
        <x:f>MIN('سال 1392'!B17,'سال 1393'!B17,'سال 1394'!B17,'سال 1395'!B17,'سال 1396'!B17,'سال 1397'!B17,'سال 1398'!B17,'سال 1399'!B17,'سال 1400'!B17,'سال 1401'!B17,'سال 1402'!B17,'سال 1403'!B17)</x:f>
        <x:v>-0.5033</x:v>
      </x:c>
      <x:c r="C17" s="60" t="n">
        <x:f>MAX('سال 1392'!B17,'سال 1393'!B17,'سال 1394'!B17,'سال 1395'!B17,'سال 1396'!B17,'سال 1397'!B17,'سال 1398'!B17,'سال 1399'!B17,'سال 1400'!B17,'سال 1401'!B17,'سال 1402'!B17,'سال 1403'!B17)</x:f>
        <x:v>-0.3633</x:v>
      </x:c>
      <x:c r="D17" s="66" t="n">
        <x:f>C17-B17</x:f>
        <x:v>0.13999999999999996</x:v>
      </x:c>
      <x:c r="F17" t="str">
        <x:v>ادویه و چاشنی</x:v>
      </x:c>
      <x:c r="G17" s="61" t="n">
        <x:f>MIN('سال 1392'!C17,'سال 1393'!C17,'سال 1394'!C17,'سال 1395'!C17,'سال 1396'!C17,'سال 1397'!C17,'سال 1398'!C17,'سال 1399'!C17,'سال 1400'!C17,'سال 1401'!C17,'سال 1402'!C17,'سال 1403'!C17)</x:f>
        <x:v>-0.5023</x:v>
      </x:c>
      <x:c r="H17" s="61" t="n">
        <x:f>MAX('سال 1392'!C17,'سال 1393'!C17,'سال 1394'!C17,'سال 1395'!C17,'سال 1396'!C17,'سال 1397'!C17,'سال 1398'!C17,'سال 1399'!C17,'سال 1400'!C17,'سال 1401'!C17,'سال 1402'!C17,'سال 1403'!C17)</x:f>
        <x:v>-0.3616</x:v>
      </x:c>
      <x:c r="I17" s="66" t="n">
        <x:f>H17-G17</x:f>
        <x:v>0.1407</x:v>
      </x:c>
    </x:row>
    <x:row r="22" ht="27" customHeight="1">
      <x:c r="A22" s="13" t="str">
        <x:v>کوهرت • کشش قیمتی خودی | B1</x:v>
      </x:c>
      <x:c r="B22" s="13"/>
      <x:c r="C22" s="13"/>
      <x:c r="D22" s="13"/>
      <x:c r="F22" s="53" t="str">
        <x:v>کوهرت • کشش قیمتی خودی | B2</x:v>
      </x:c>
      <x:c r="G22" s="53"/>
      <x:c r="H22" s="53"/>
      <x:c r="I22" s="53"/>
    </x:row>
    <x:row r="23" ht="23" customHeight="1">
      <x:c r="A23" s="46" t="str">
        <x:v>گروه کالایی</x:v>
      </x:c>
      <x:c r="B23" s="46" t="str">
        <x:v>کمینه</x:v>
      </x:c>
      <x:c r="C23" s="46" t="str">
        <x:v>بیشینه</x:v>
      </x:c>
      <x:c r="D23" s="46" t="str">
        <x:v>دامنه</x:v>
      </x:c>
      <x:c r="F23" s="57" t="str">
        <x:v>گروه کالایی</x:v>
      </x:c>
      <x:c r="G23" s="57" t="str">
        <x:v>کمینه</x:v>
      </x:c>
      <x:c r="H23" s="57" t="str">
        <x:v>بیشینه</x:v>
      </x:c>
      <x:c r="I23" s="57" t="str">
        <x:v>دامنه</x:v>
      </x:c>
    </x:row>
    <x:row r="24" ht="22" customHeight="1">
      <x:c r="A24" t="str">
        <x:v>برنج</x:v>
      </x:c>
      <x:c r="B24" s="60" t="n">
        <x:f>MIN('کوهرت 1392'!B6,'کوهرت 1393'!B6,'کوهرت 1394'!B6,'کوهرت 1397'!B6,'کوهرت 1398'!B6,'کوهرت 1399'!B6,'کوهرت 1400'!B6,'کوهرت 1401'!B6)</x:f>
        <x:v>-1.0811</x:v>
      </x:c>
      <x:c r="C24" s="60" t="n">
        <x:f>MAX('کوهرت 1392'!B6,'کوهرت 1393'!B6,'کوهرت 1394'!B6,'کوهرت 1397'!B6,'کوهرت 1398'!B6,'کوهرت 1399'!B6,'کوهرت 1400'!B6,'کوهرت 1401'!B6)</x:f>
        <x:v>-1.0762</x:v>
      </x:c>
      <x:c r="D24" s="66" t="n">
        <x:f>C24-B24</x:f>
        <x:v>0.004899999999999904</x:v>
      </x:c>
      <x:c r="F24" t="str">
        <x:v>برنج</x:v>
      </x:c>
      <x:c r="G24" s="61" t="n">
        <x:f>MIN('کوهرت 1392'!C6,'کوهرت 1393'!C6,'کوهرت 1394'!C6,'کوهرت 1397'!C6,'کوهرت 1398'!C6,'کوهرت 1399'!C6,'کوهرت 1400'!C6,'کوهرت 1401'!C6)</x:f>
        <x:v>-1.08</x:v>
      </x:c>
      <x:c r="H24" s="61" t="n">
        <x:f>MAX('کوهرت 1392'!C6,'کوهرت 1393'!C6,'کوهرت 1394'!C6,'کوهرت 1397'!C6,'کوهرت 1398'!C6,'کوهرت 1399'!C6,'کوهرت 1400'!C6,'کوهرت 1401'!C6)</x:f>
        <x:v>-1.0737</x:v>
      </x:c>
      <x:c r="I24" s="66" t="n">
        <x:f>H24-G24</x:f>
        <x:v>0.006299999999999972</x:v>
      </x:c>
    </x:row>
    <x:row r="25" ht="22" customHeight="1">
      <x:c r="A25" t="str">
        <x:v>نان و غلات</x:v>
      </x:c>
      <x:c r="B25" s="60" t="n">
        <x:f>MIN('کوهرت 1392'!B7,'کوهرت 1393'!B7,'کوهرت 1394'!B7,'کوهرت 1397'!B7,'کوهرت 1398'!B7,'کوهرت 1399'!B7,'کوهرت 1400'!B7,'کوهرت 1401'!B7)</x:f>
        <x:v>-0.7373</x:v>
      </x:c>
      <x:c r="C25" s="60" t="n">
        <x:f>MAX('کوهرت 1392'!B7,'کوهرت 1393'!B7,'کوهرت 1394'!B7,'کوهرت 1397'!B7,'کوهرت 1398'!B7,'کوهرت 1399'!B7,'کوهرت 1400'!B7,'کوهرت 1401'!B7)</x:f>
        <x:v>-0.5201</x:v>
      </x:c>
      <x:c r="D25" s="66" t="n">
        <x:f>C25-B25</x:f>
        <x:v>0.21719999999999995</x:v>
      </x:c>
      <x:c r="F25" t="str">
        <x:v>نان و غلات</x:v>
      </x:c>
      <x:c r="G25" s="61" t="n">
        <x:f>MIN('کوهرت 1392'!C7,'کوهرت 1393'!C7,'کوهرت 1394'!C7,'کوهرت 1397'!C7,'کوهرت 1398'!C7,'کوهرت 1399'!C7,'کوهرت 1400'!C7,'کوهرت 1401'!C7)</x:f>
        <x:v>-0.7103</x:v>
      </x:c>
      <x:c r="H25" s="61" t="n">
        <x:f>MAX('کوهرت 1392'!C7,'کوهرت 1393'!C7,'کوهرت 1394'!C7,'کوهرت 1397'!C7,'کوهرت 1398'!C7,'کوهرت 1399'!C7,'کوهرت 1400'!C7,'کوهرت 1401'!C7)</x:f>
        <x:v>-0.4608</x:v>
      </x:c>
      <x:c r="I25" s="66" t="n">
        <x:f>H25-G25</x:f>
        <x:v>0.24950000000000006</x:v>
      </x:c>
    </x:row>
    <x:row r="26" ht="22" customHeight="1">
      <x:c r="A26" t="str">
        <x:v>گوشت</x:v>
      </x:c>
      <x:c r="B26" s="60" t="n">
        <x:f>MIN('کوهرت 1392'!B8,'کوهرت 1393'!B8,'کوهرت 1394'!B8,'کوهرت 1397'!B8,'کوهرت 1398'!B8,'کوهرت 1399'!B8,'کوهرت 1400'!B8,'کوهرت 1401'!B8)</x:f>
        <x:v>-0.9391</x:v>
      </x:c>
      <x:c r="C26" s="60" t="n">
        <x:f>MAX('کوهرت 1392'!B8,'کوهرت 1393'!B8,'کوهرت 1394'!B8,'کوهرت 1397'!B8,'کوهرت 1398'!B8,'کوهرت 1399'!B8,'کوهرت 1400'!B8,'کوهرت 1401'!B8)</x:f>
        <x:v>-0.9084</x:v>
      </x:c>
      <x:c r="D26" s="66" t="n">
        <x:f>C26-B26</x:f>
        <x:v>0.03070000000000006</x:v>
      </x:c>
      <x:c r="F26" t="str">
        <x:v>گوشت</x:v>
      </x:c>
      <x:c r="G26" s="61" t="n">
        <x:f>MIN('کوهرت 1392'!C8,'کوهرت 1393'!C8,'کوهرت 1394'!C8,'کوهرت 1397'!C8,'کوهرت 1398'!C8,'کوهرت 1399'!C8,'کوهرت 1400'!C8,'کوهرت 1401'!C8)</x:f>
        <x:v>-0.9503</x:v>
      </x:c>
      <x:c r="H26" s="61" t="n">
        <x:f>MAX('کوهرت 1392'!C8,'کوهرت 1393'!C8,'کوهرت 1394'!C8,'کوهرت 1397'!C8,'کوهرت 1398'!C8,'کوهرت 1399'!C8,'کوهرت 1400'!C8,'کوهرت 1401'!C8)</x:f>
        <x:v>-0.9194</x:v>
      </x:c>
      <x:c r="I26" s="66" t="n">
        <x:f>H26-G26</x:f>
        <x:v>0.03090000000000004</x:v>
      </x:c>
    </x:row>
    <x:row r="27" ht="22" customHeight="1">
      <x:c r="A27" t="str">
        <x:v>لبنیات و تخم‌مرغ</x:v>
      </x:c>
      <x:c r="B27" s="60" t="n">
        <x:f>MIN('کوهرت 1392'!B9,'کوهرت 1393'!B9,'کوهرت 1394'!B9,'کوهرت 1397'!B9,'کوهرت 1398'!B9,'کوهرت 1399'!B9,'کوهرت 1400'!B9,'کوهرت 1401'!B9)</x:f>
        <x:v>-0.8202</x:v>
      </x:c>
      <x:c r="C27" s="60" t="n">
        <x:f>MAX('کوهرت 1392'!B9,'کوهرت 1393'!B9,'کوهرت 1394'!B9,'کوهرت 1397'!B9,'کوهرت 1398'!B9,'کوهرت 1399'!B9,'کوهرت 1400'!B9,'کوهرت 1401'!B9)</x:f>
        <x:v>-0.7902</x:v>
      </x:c>
      <x:c r="D27" s="66" t="n">
        <x:f>C27-B27</x:f>
        <x:v>0.030000000000000027</x:v>
      </x:c>
      <x:c r="F27" t="str">
        <x:v>لبنیات و تخم‌مرغ</x:v>
      </x:c>
      <x:c r="G27" s="61" t="n">
        <x:f>MIN('کوهرت 1392'!C9,'کوهرت 1393'!C9,'کوهرت 1394'!C9,'کوهرت 1397'!C9,'کوهرت 1398'!C9,'کوهرت 1399'!C9,'کوهرت 1400'!C9,'کوهرت 1401'!C9)</x:f>
        <x:v>-0.8135</x:v>
      </x:c>
      <x:c r="H27" s="61" t="n">
        <x:f>MAX('کوهرت 1392'!C9,'کوهرت 1393'!C9,'کوهرت 1394'!C9,'کوهرت 1397'!C9,'کوهرت 1398'!C9,'کوهرت 1399'!C9,'کوهرت 1400'!C9,'کوهرت 1401'!C9)</x:f>
        <x:v>-0.7839</x:v>
      </x:c>
      <x:c r="I27" s="66" t="n">
        <x:f>H27-G27</x:f>
        <x:v>0.02959999999999996</x:v>
      </x:c>
    </x:row>
    <x:row r="28" ht="22" customHeight="1">
      <x:c r="A28" t="str">
        <x:v>روغن و چربی</x:v>
      </x:c>
      <x:c r="B28" s="60" t="n">
        <x:f>MIN('کوهرت 1392'!B10,'کوهرت 1393'!B10,'کوهرت 1394'!B10,'کوهرت 1397'!B10,'کوهرت 1398'!B10,'کوهرت 1399'!B10,'کوهرت 1400'!B10,'کوهرت 1401'!B10)</x:f>
        <x:v>-0.5463</x:v>
      </x:c>
      <x:c r="C28" s="60" t="n">
        <x:f>MAX('کوهرت 1392'!B10,'کوهرت 1393'!B10,'کوهرت 1394'!B10,'کوهرت 1397'!B10,'کوهرت 1398'!B10,'کوهرت 1399'!B10,'کوهرت 1400'!B10,'کوهرت 1401'!B10)</x:f>
        <x:v>-0.4009</x:v>
      </x:c>
      <x:c r="D28" s="66" t="n">
        <x:f>C28-B28</x:f>
        <x:v>0.14540000000000003</x:v>
      </x:c>
      <x:c r="F28" t="str">
        <x:v>روغن و چربی</x:v>
      </x:c>
      <x:c r="G28" s="61" t="n">
        <x:f>MIN('کوهرت 1392'!C10,'کوهرت 1393'!C10,'کوهرت 1394'!C10,'کوهرت 1397'!C10,'کوهرت 1398'!C10,'کوهرت 1399'!C10,'کوهرت 1400'!C10,'کوهرت 1401'!C10)</x:f>
        <x:v>-0.5494</x:v>
      </x:c>
      <x:c r="H28" s="61" t="n">
        <x:f>MAX('کوهرت 1392'!C10,'کوهرت 1393'!C10,'کوهرت 1394'!C10,'کوهرت 1397'!C10,'کوهرت 1398'!C10,'کوهرت 1399'!C10,'کوهرت 1400'!C10,'کوهرت 1401'!C10)</x:f>
        <x:v>-0.3954</x:v>
      </x:c>
      <x:c r="I28" s="66" t="n">
        <x:f>H28-G28</x:f>
        <x:v>0.15400000000000003</x:v>
      </x:c>
    </x:row>
    <x:row r="29" ht="22" customHeight="1">
      <x:c r="A29" t="str">
        <x:v>میوه</x:v>
      </x:c>
      <x:c r="B29" s="60" t="n">
        <x:f>MIN('کوهرت 1392'!B11,'کوهرت 1393'!B11,'کوهرت 1394'!B11,'کوهرت 1397'!B11,'کوهرت 1398'!B11,'کوهرت 1399'!B11,'کوهرت 1400'!B11,'کوهرت 1401'!B11)</x:f>
        <x:v>-1.0796</x:v>
      </x:c>
      <x:c r="C29" s="60" t="n">
        <x:f>MAX('کوهرت 1392'!B11,'کوهرت 1393'!B11,'کوهرت 1394'!B11,'کوهرت 1397'!B11,'کوهرت 1398'!B11,'کوهرت 1399'!B11,'کوهرت 1400'!B11,'کوهرت 1401'!B11)</x:f>
        <x:v>-1.0271</x:v>
      </x:c>
      <x:c r="D29" s="66" t="n">
        <x:f>C29-B29</x:f>
        <x:v>0.05249999999999999</x:v>
      </x:c>
      <x:c r="F29" t="str">
        <x:v>میوه</x:v>
      </x:c>
      <x:c r="G29" s="61" t="n">
        <x:f>MIN('کوهرت 1392'!C11,'کوهرت 1393'!C11,'کوهرت 1394'!C11,'کوهرت 1397'!C11,'کوهرت 1398'!C11,'کوهرت 1399'!C11,'کوهرت 1400'!C11,'کوهرت 1401'!C11)</x:f>
        <x:v>-1.074</x:v>
      </x:c>
      <x:c r="H29" s="61" t="n">
        <x:f>MAX('کوهرت 1392'!C11,'کوهرت 1393'!C11,'کوهرت 1394'!C11,'کوهرت 1397'!C11,'کوهرت 1398'!C11,'کوهرت 1399'!C11,'کوهرت 1400'!C11,'کوهرت 1401'!C11)</x:f>
        <x:v>-1.0219</x:v>
      </x:c>
      <x:c r="I29" s="66" t="n">
        <x:f>H29-G29</x:f>
        <x:v>0.052100000000000035</x:v>
      </x:c>
    </x:row>
    <x:row r="30" ht="22" customHeight="1">
      <x:c r="A30" t="str">
        <x:v>سبزیجات و سیب‌زمینی</x:v>
      </x:c>
      <x:c r="B30" s="60" t="n">
        <x:f>MIN('کوهرت 1392'!B12,'کوهرت 1393'!B12,'کوهرت 1394'!B12,'کوهرت 1397'!B12,'کوهرت 1398'!B12,'کوهرت 1399'!B12,'کوهرت 1400'!B12,'کوهرت 1401'!B12)</x:f>
        <x:v>-0.5052</x:v>
      </x:c>
      <x:c r="C30" s="60" t="n">
        <x:f>MAX('کوهرت 1392'!B12,'کوهرت 1393'!B12,'کوهرت 1394'!B12,'کوهرت 1397'!B12,'کوهرت 1398'!B12,'کوهرت 1399'!B12,'کوهرت 1400'!B12,'کوهرت 1401'!B12)</x:f>
        <x:v>-0.3783</x:v>
      </x:c>
      <x:c r="D30" s="66" t="n">
        <x:f>C30-B30</x:f>
        <x:v>0.12689999999999996</x:v>
      </x:c>
      <x:c r="F30" t="str">
        <x:v>سبزیجات و سیب‌زمینی</x:v>
      </x:c>
      <x:c r="G30" s="61" t="n">
        <x:f>MIN('کوهرت 1392'!C12,'کوهرت 1393'!C12,'کوهرت 1394'!C12,'کوهرت 1397'!C12,'کوهرت 1398'!C12,'کوهرت 1399'!C12,'کوهرت 1400'!C12,'کوهرت 1401'!C12)</x:f>
        <x:v>-0.4908</x:v>
      </x:c>
      <x:c r="H30" s="61" t="n">
        <x:f>MAX('کوهرت 1392'!C12,'کوهرت 1393'!C12,'کوهرت 1394'!C12,'کوهرت 1397'!C12,'کوهرت 1398'!C12,'کوهرت 1399'!C12,'کوهرت 1400'!C12,'کوهرت 1401'!C12)</x:f>
        <x:v>-0.3659</x:v>
      </x:c>
      <x:c r="I30" s="66" t="n">
        <x:f>H30-G30</x:f>
        <x:v>0.12490000000000001</x:v>
      </x:c>
    </x:row>
    <x:row r="31" ht="22" customHeight="1">
      <x:c r="A31" t="str">
        <x:v>حبوبات</x:v>
      </x:c>
      <x:c r="B31" s="60" t="n">
        <x:f>MIN('کوهرت 1392'!B13,'کوهرت 1393'!B13,'کوهرت 1394'!B13,'کوهرت 1397'!B13,'کوهرت 1398'!B13,'کوهرت 1399'!B13,'کوهرت 1400'!B13,'کوهرت 1401'!B13)</x:f>
        <x:v>-0.704</x:v>
      </x:c>
      <x:c r="C31" s="60" t="n">
        <x:f>MAX('کوهرت 1392'!B13,'کوهرت 1393'!B13,'کوهرت 1394'!B13,'کوهرت 1397'!B13,'کوهرت 1398'!B13,'کوهرت 1399'!B13,'کوهرت 1400'!B13,'کوهرت 1401'!B13)</x:f>
        <x:v>-0.6778</x:v>
      </x:c>
      <x:c r="D31" s="66" t="n">
        <x:f>C31-B31</x:f>
        <x:v>0.0262</x:v>
      </x:c>
      <x:c r="F31" t="str">
        <x:v>حبوبات</x:v>
      </x:c>
      <x:c r="G31" s="61" t="n">
        <x:f>MIN('کوهرت 1392'!C13,'کوهرت 1393'!C13,'کوهرت 1394'!C13,'کوهرت 1397'!C13,'کوهرت 1398'!C13,'کوهرت 1399'!C13,'کوهرت 1400'!C13,'کوهرت 1401'!C13)</x:f>
        <x:v>-0.7282</x:v>
      </x:c>
      <x:c r="H31" s="61" t="n">
        <x:f>MAX('کوهرت 1392'!C13,'کوهرت 1393'!C13,'کوهرت 1394'!C13,'کوهرت 1397'!C13,'کوهرت 1398'!C13,'کوهرت 1399'!C13,'کوهرت 1400'!C13,'کوهرت 1401'!C13)</x:f>
        <x:v>-0.7032</x:v>
      </x:c>
      <x:c r="I31" s="66" t="n">
        <x:f>H31-G31</x:f>
        <x:v>0.02499999999999991</x:v>
      </x:c>
    </x:row>
    <x:row r="32" ht="22" customHeight="1">
      <x:c r="A32" t="str">
        <x:v>مغزها، خشکبار و خرما</x:v>
      </x:c>
      <x:c r="B32" s="60" t="n">
        <x:f>MIN('کوهرت 1392'!B14,'کوهرت 1393'!B14,'کوهرت 1394'!B14,'کوهرت 1397'!B14,'کوهرت 1398'!B14,'کوهرت 1399'!B14,'کوهرت 1400'!B14,'کوهرت 1401'!B14)</x:f>
        <x:v>-0.995</x:v>
      </x:c>
      <x:c r="C32" s="60" t="n">
        <x:f>MAX('کوهرت 1392'!B14,'کوهرت 1393'!B14,'کوهرت 1394'!B14,'کوهرت 1397'!B14,'کوهرت 1398'!B14,'کوهرت 1399'!B14,'کوهرت 1400'!B14,'کوهرت 1401'!B14)</x:f>
        <x:v>-0.9266</x:v>
      </x:c>
      <x:c r="D32" s="66" t="n">
        <x:f>C32-B32</x:f>
        <x:v>0.06840000000000002</x:v>
      </x:c>
      <x:c r="F32" t="str">
        <x:v>مغزها، خشکبار و خرما</x:v>
      </x:c>
      <x:c r="G32" s="61" t="n">
        <x:f>MIN('کوهرت 1392'!C14,'کوهرت 1393'!C14,'کوهرت 1394'!C14,'کوهرت 1397'!C14,'کوهرت 1398'!C14,'کوهرت 1399'!C14,'کوهرت 1400'!C14,'کوهرت 1401'!C14)</x:f>
        <x:v>-1.0015</x:v>
      </x:c>
      <x:c r="H32" s="61" t="n">
        <x:f>MAX('کوهرت 1392'!C14,'کوهرت 1393'!C14,'کوهرت 1394'!C14,'کوهرت 1397'!C14,'کوهرت 1398'!C14,'کوهرت 1399'!C14,'کوهرت 1400'!C14,'کوهرت 1401'!C14)</x:f>
        <x:v>-0.9443</x:v>
      </x:c>
      <x:c r="I32" s="66" t="n">
        <x:f>H32-G32</x:f>
        <x:v>0.05720000000000003</x:v>
      </x:c>
    </x:row>
    <x:row r="33" ht="22" customHeight="1">
      <x:c r="A33" t="str">
        <x:v>قند، شیرینی و تنقلات</x:v>
      </x:c>
      <x:c r="B33" s="60" t="n">
        <x:f>MIN('کوهرت 1392'!B15,'کوهرت 1393'!B15,'کوهرت 1394'!B15,'کوهرت 1397'!B15,'کوهرت 1398'!B15,'کوهرت 1399'!B15,'کوهرت 1400'!B15,'کوهرت 1401'!B15)</x:f>
        <x:v>-0.5829</x:v>
      </x:c>
      <x:c r="C33" s="60" t="n">
        <x:f>MAX('کوهرت 1392'!B15,'کوهرت 1393'!B15,'کوهرت 1394'!B15,'کوهرت 1397'!B15,'کوهرت 1398'!B15,'کوهرت 1399'!B15,'کوهرت 1400'!B15,'کوهرت 1401'!B15)</x:f>
        <x:v>-0.4879</x:v>
      </x:c>
      <x:c r="D33" s="66" t="n">
        <x:f>C33-B33</x:f>
        <x:v>0.09499999999999997</x:v>
      </x:c>
      <x:c r="F33" t="str">
        <x:v>قند، شیرینی و تنقلات</x:v>
      </x:c>
      <x:c r="G33" s="61" t="n">
        <x:f>MIN('کوهرت 1392'!C15,'کوهرت 1393'!C15,'کوهرت 1394'!C15,'کوهرت 1397'!C15,'کوهرت 1398'!C15,'کوهرت 1399'!C15,'کوهرت 1400'!C15,'کوهرت 1401'!C15)</x:f>
        <x:v>-0.5806</x:v>
      </x:c>
      <x:c r="H33" s="61" t="n">
        <x:f>MAX('کوهرت 1392'!C15,'کوهرت 1393'!C15,'کوهرت 1394'!C15,'کوهرت 1397'!C15,'کوهرت 1398'!C15,'کوهرت 1399'!C15,'کوهرت 1400'!C15,'کوهرت 1401'!C15)</x:f>
        <x:v>-0.4857</x:v>
      </x:c>
      <x:c r="I33" s="66" t="n">
        <x:f>H33-G33</x:f>
        <x:v>0.09489999999999998</x:v>
      </x:c>
    </x:row>
    <x:row r="34" ht="22" customHeight="1">
      <x:c r="A34" t="str">
        <x:v>نوشیدنی بدون نوشابه</x:v>
      </x:c>
      <x:c r="B34" s="60" t="n">
        <x:f>MIN('کوهرت 1392'!B16,'کوهرت 1393'!B16,'کوهرت 1394'!B16,'کوهرت 1397'!B16,'کوهرت 1398'!B16,'کوهرت 1399'!B16,'کوهرت 1400'!B16,'کوهرت 1401'!B16)</x:f>
        <x:v>-0.8838</x:v>
      </x:c>
      <x:c r="C34" s="60" t="n">
        <x:f>MAX('کوهرت 1392'!B16,'کوهرت 1393'!B16,'کوهرت 1394'!B16,'کوهرت 1397'!B16,'کوهرت 1398'!B16,'کوهرت 1399'!B16,'کوهرت 1400'!B16,'کوهرت 1401'!B16)</x:f>
        <x:v>-0.8161</x:v>
      </x:c>
      <x:c r="D34" s="66" t="n">
        <x:f>C34-B34</x:f>
        <x:v>0.06769999999999998</x:v>
      </x:c>
      <x:c r="F34" t="str">
        <x:v>نوشیدنی بدون نوشابه</x:v>
      </x:c>
      <x:c r="G34" s="61" t="n">
        <x:f>MIN('کوهرت 1392'!C16,'کوهرت 1393'!C16,'کوهرت 1394'!C16,'کوهرت 1397'!C16,'کوهرت 1398'!C16,'کوهرت 1399'!C16,'کوهرت 1400'!C16,'کوهرت 1401'!C16)</x:f>
        <x:v>-0.8939</x:v>
      </x:c>
      <x:c r="H34" s="61" t="n">
        <x:f>MAX('کوهرت 1392'!C16,'کوهرت 1393'!C16,'کوهرت 1394'!C16,'کوهرت 1397'!C16,'کوهرت 1398'!C16,'کوهرت 1399'!C16,'کوهرت 1400'!C16,'کوهرت 1401'!C16)</x:f>
        <x:v>-0.8252</x:v>
      </x:c>
      <x:c r="I34" s="66" t="n">
        <x:f>H34-G34</x:f>
        <x:v>0.06869999999999998</x:v>
      </x:c>
    </x:row>
    <x:row r="35" ht="22" customHeight="1">
      <x:c r="A35" t="str">
        <x:v>ادویه و چاشنی</x:v>
      </x:c>
      <x:c r="B35" s="60" t="n">
        <x:f>MIN('کوهرت 1392'!B17,'کوهرت 1393'!B17,'کوهرت 1394'!B17,'کوهرت 1397'!B17,'کوهرت 1398'!B17,'کوهرت 1399'!B17,'کوهرت 1400'!B17,'کوهرت 1401'!B17)</x:f>
        <x:v>-0.4708</x:v>
      </x:c>
      <x:c r="C35" s="60" t="n">
        <x:f>MAX('کوهرت 1392'!B17,'کوهرت 1393'!B17,'کوهرت 1394'!B17,'کوهرت 1397'!B17,'کوهرت 1398'!B17,'کوهرت 1399'!B17,'کوهرت 1400'!B17,'کوهرت 1401'!B17)</x:f>
        <x:v>-0.3794</x:v>
      </x:c>
      <x:c r="D35" s="66" t="n">
        <x:f>C35-B35</x:f>
        <x:v>0.09139999999999998</x:v>
      </x:c>
      <x:c r="F35" t="str">
        <x:v>ادویه و چاشنی</x:v>
      </x:c>
      <x:c r="G35" s="61" t="n">
        <x:f>MIN('کوهرت 1392'!C17,'کوهرت 1393'!C17,'کوهرت 1394'!C17,'کوهرت 1397'!C17,'کوهرت 1398'!C17,'کوهرت 1399'!C17,'کوهرت 1400'!C17,'کوهرت 1401'!C17)</x:f>
        <x:v>-0.4695</x:v>
      </x:c>
      <x:c r="H35" s="61" t="n">
        <x:f>MAX('کوهرت 1392'!C17,'کوهرت 1393'!C17,'کوهرت 1394'!C17,'کوهرت 1397'!C17,'کوهرت 1398'!C17,'کوهرت 1399'!C17,'کوهرت 1400'!C17,'کوهرت 1401'!C17)</x:f>
        <x:v>-0.3774</x:v>
      </x:c>
      <x:c r="I35" s="66" t="n">
        <x:f>H35-G35</x:f>
        <x:v>0.09209999999999996</x:v>
      </x:c>
    </x:row>
    <x:row r="40" ht="27" customHeight="1">
      <x:c r="A40" s="13" t="str">
        <x:v>سالانه • کشش مخارج غذایی | B1</x:v>
      </x:c>
      <x:c r="B40" s="13"/>
      <x:c r="C40" s="13"/>
      <x:c r="D40" s="13"/>
      <x:c r="F40" s="53" t="str">
        <x:v>سالانه • کشش مخارج غذایی | B2</x:v>
      </x:c>
      <x:c r="G40" s="53"/>
      <x:c r="H40" s="53"/>
      <x:c r="I40" s="53"/>
    </x:row>
    <x:row r="41" ht="23" customHeight="1">
      <x:c r="A41" s="46" t="str">
        <x:v>گروه کالایی</x:v>
      </x:c>
      <x:c r="B41" s="46" t="str">
        <x:v>کمینه</x:v>
      </x:c>
      <x:c r="C41" s="46" t="str">
        <x:v>بیشینه</x:v>
      </x:c>
      <x:c r="D41" s="46" t="str">
        <x:v>دامنه</x:v>
      </x:c>
      <x:c r="F41" s="57" t="str">
        <x:v>گروه کالایی</x:v>
      </x:c>
      <x:c r="G41" s="57" t="str">
        <x:v>کمینه</x:v>
      </x:c>
      <x:c r="H41" s="57" t="str">
        <x:v>بیشینه</x:v>
      </x:c>
      <x:c r="I41" s="57" t="str">
        <x:v>دامنه</x:v>
      </x:c>
    </x:row>
    <x:row r="42" ht="22" customHeight="1">
      <x:c r="A42" t="str">
        <x:v>برنج</x:v>
      </x:c>
      <x:c r="B42" s="60" t="n">
        <x:f>MIN('سال 1392'!D6,'سال 1393'!D6,'سال 1394'!D6,'سال 1395'!D6,'سال 1396'!D6,'سال 1397'!D6,'سال 1398'!D6,'سال 1399'!D6,'سال 1400'!D6,'سال 1401'!D6,'سال 1402'!D6,'سال 1403'!D6)</x:f>
        <x:v>1.5526</x:v>
      </x:c>
      <x:c r="C42" s="60" t="n">
        <x:f>MAX('سال 1392'!D6,'سال 1393'!D6,'سال 1394'!D6,'سال 1395'!D6,'سال 1396'!D6,'سال 1397'!D6,'سال 1398'!D6,'سال 1399'!D6,'سال 1400'!D6,'سال 1401'!D6,'سال 1402'!D6,'سال 1403'!D6)</x:f>
        <x:v>1.5817</x:v>
      </x:c>
      <x:c r="D42" s="66" t="n">
        <x:f>C42-B42</x:f>
        <x:v>0.029100000000000126</x:v>
      </x:c>
      <x:c r="F42" t="str">
        <x:v>برنج</x:v>
      </x:c>
      <x:c r="G42" s="61" t="n">
        <x:f>MIN('سال 1392'!E6,'سال 1393'!E6,'سال 1394'!E6,'سال 1395'!E6,'سال 1396'!E6,'سال 1397'!E6,'سال 1398'!E6,'سال 1399'!E6,'سال 1400'!E6,'سال 1401'!E6,'سال 1402'!E6,'سال 1403'!E6)</x:f>
        <x:v>1.6033</x:v>
      </x:c>
      <x:c r="H42" s="61" t="n">
        <x:f>MAX('سال 1392'!E6,'سال 1393'!E6,'سال 1394'!E6,'سال 1395'!E6,'سال 1396'!E6,'سال 1397'!E6,'سال 1398'!E6,'سال 1399'!E6,'سال 1400'!E6,'سال 1401'!E6,'سال 1402'!E6,'سال 1403'!E6)</x:f>
        <x:v>1.6301</x:v>
      </x:c>
      <x:c r="I42" s="66" t="n">
        <x:f>H42-G42</x:f>
        <x:v>0.026800000000000157</x:v>
      </x:c>
    </x:row>
    <x:row r="43" ht="22" customHeight="1">
      <x:c r="A43" t="str">
        <x:v>نان و غلات</x:v>
      </x:c>
      <x:c r="B43" s="60" t="n">
        <x:f>MIN('سال 1392'!D7,'سال 1393'!D7,'سال 1394'!D7,'سال 1395'!D7,'سال 1396'!D7,'سال 1397'!D7,'سال 1398'!D7,'سال 1399'!D7,'سال 1400'!D7,'سال 1401'!D7,'سال 1402'!D7,'سال 1403'!D7)</x:f>
        <x:v>-0.2164</x:v>
      </x:c>
      <x:c r="C43" s="60" t="n">
        <x:f>MAX('سال 1392'!D7,'سال 1393'!D7,'سال 1394'!D7,'سال 1395'!D7,'سال 1396'!D7,'سال 1397'!D7,'سال 1398'!D7,'سال 1399'!D7,'سال 1400'!D7,'سال 1401'!D7,'سال 1402'!D7,'سال 1403'!D7)</x:f>
        <x:v>0.6245</x:v>
      </x:c>
      <x:c r="D43" s="66" t="n">
        <x:f>C43-B43</x:f>
        <x:v>0.8409000000000001</x:v>
      </x:c>
      <x:c r="F43" t="str">
        <x:v>نان و غلات</x:v>
      </x:c>
      <x:c r="G43" s="61" t="n">
        <x:f>MIN('سال 1392'!E7,'سال 1393'!E7,'سال 1394'!E7,'سال 1395'!E7,'سال 1396'!E7,'سال 1397'!E7,'سال 1398'!E7,'سال 1399'!E7,'سال 1400'!E7,'سال 1401'!E7,'سال 1402'!E7,'سال 1403'!E7)</x:f>
        <x:v>-0.4361</x:v>
      </x:c>
      <x:c r="H43" s="61" t="n">
        <x:f>MAX('سال 1392'!E7,'سال 1393'!E7,'سال 1394'!E7,'سال 1395'!E7,'سال 1396'!E7,'سال 1397'!E7,'سال 1398'!E7,'سال 1399'!E7,'سال 1400'!E7,'سال 1401'!E7,'سال 1402'!E7,'سال 1403'!E7)</x:f>
        <x:v>0.5449</x:v>
      </x:c>
      <x:c r="I43" s="66" t="n">
        <x:f>H43-G43</x:f>
        <x:v>0.9810000000000001</x:v>
      </x:c>
    </x:row>
    <x:row r="44" ht="22" customHeight="1">
      <x:c r="A44" t="str">
        <x:v>گوشت</x:v>
      </x:c>
      <x:c r="B44" s="60" t="n">
        <x:f>MIN('سال 1392'!D8,'سال 1393'!D8,'سال 1394'!D8,'سال 1395'!D8,'سال 1396'!D8,'سال 1397'!D8,'سال 1398'!D8,'سال 1399'!D8,'سال 1400'!D8,'سال 1401'!D8,'سال 1402'!D8,'سال 1403'!D8)</x:f>
        <x:v>1.2217</x:v>
      </x:c>
      <x:c r="C44" s="60" t="n">
        <x:f>MAX('سال 1392'!D8,'سال 1393'!D8,'سال 1394'!D8,'سال 1395'!D8,'سال 1396'!D8,'سال 1397'!D8,'سال 1398'!D8,'سال 1399'!D8,'سال 1400'!D8,'سال 1401'!D8,'سال 1402'!D8,'سال 1403'!D8)</x:f>
        <x:v>1.2615</x:v>
      </x:c>
      <x:c r="D44" s="66" t="n">
        <x:f>C44-B44</x:f>
        <x:v>0.03980000000000006</x:v>
      </x:c>
      <x:c r="F44" t="str">
        <x:v>گوشت</x:v>
      </x:c>
      <x:c r="G44" s="61" t="n">
        <x:f>MIN('سال 1392'!E8,'سال 1393'!E8,'سال 1394'!E8,'سال 1395'!E8,'سال 1396'!E8,'سال 1397'!E8,'سال 1398'!E8,'سال 1399'!E8,'سال 1400'!E8,'سال 1401'!E8,'سال 1402'!E8,'سال 1403'!E8)</x:f>
        <x:v>1.2381</x:v>
      </x:c>
      <x:c r="H44" s="61" t="n">
        <x:f>MAX('سال 1392'!E8,'سال 1393'!E8,'سال 1394'!E8,'سال 1395'!E8,'سال 1396'!E8,'سال 1397'!E8,'سال 1398'!E8,'سال 1399'!E8,'سال 1400'!E8,'سال 1401'!E8,'سال 1402'!E8,'سال 1403'!E8)</x:f>
        <x:v>1.281</x:v>
      </x:c>
      <x:c r="I44" s="66" t="n">
        <x:f>H44-G44</x:f>
        <x:v>0.04289999999999994</x:v>
      </x:c>
    </x:row>
    <x:row r="45" ht="22" customHeight="1">
      <x:c r="A45" t="str">
        <x:v>لبنیات و تخم‌مرغ</x:v>
      </x:c>
      <x:c r="B45" s="60" t="n">
        <x:f>MIN('سال 1392'!D9,'سال 1393'!D9,'سال 1394'!D9,'سال 1395'!D9,'سال 1396'!D9,'سال 1397'!D9,'سال 1398'!D9,'سال 1399'!D9,'سال 1400'!D9,'سال 1401'!D9,'سال 1402'!D9,'سال 1403'!D9)</x:f>
        <x:v>0.8404</x:v>
      </x:c>
      <x:c r="C45" s="60" t="n">
        <x:f>MAX('سال 1392'!D9,'سال 1393'!D9,'سال 1394'!D9,'سال 1395'!D9,'سال 1396'!D9,'سال 1397'!D9,'سال 1398'!D9,'سال 1399'!D9,'سال 1400'!D9,'سال 1401'!D9,'سال 1402'!D9,'سال 1403'!D9)</x:f>
        <x:v>0.8698</x:v>
      </x:c>
      <x:c r="D45" s="66" t="n">
        <x:f>C45-B45</x:f>
        <x:v>0.02939999999999998</x:v>
      </x:c>
      <x:c r="F45" t="str">
        <x:v>لبنیات و تخم‌مرغ</x:v>
      </x:c>
      <x:c r="G45" s="61" t="n">
        <x:f>MIN('سال 1392'!E9,'سال 1393'!E9,'سال 1394'!E9,'سال 1395'!E9,'سال 1396'!E9,'سال 1397'!E9,'سال 1398'!E9,'سال 1399'!E9,'سال 1400'!E9,'سال 1401'!E9,'سال 1402'!E9,'سال 1403'!E9)</x:f>
        <x:v>0.8149</x:v>
      </x:c>
      <x:c r="H45" s="61" t="n">
        <x:f>MAX('سال 1392'!E9,'سال 1393'!E9,'سال 1394'!E9,'سال 1395'!E9,'سال 1396'!E9,'سال 1397'!E9,'سال 1398'!E9,'سال 1399'!E9,'سال 1400'!E9,'سال 1401'!E9,'سال 1402'!E9,'سال 1403'!E9)</x:f>
        <x:v>0.8482</x:v>
      </x:c>
      <x:c r="I45" s="66" t="n">
        <x:f>H45-G45</x:f>
        <x:v>0.033299999999999996</x:v>
      </x:c>
    </x:row>
    <x:row r="46" ht="22" customHeight="1">
      <x:c r="A46" t="str">
        <x:v>روغن و چربی</x:v>
      </x:c>
      <x:c r="B46" s="60" t="n">
        <x:f>MIN('سال 1392'!D10,'سال 1393'!D10,'سال 1394'!D10,'سال 1395'!D10,'سال 1396'!D10,'سال 1397'!D10,'سال 1398'!D10,'سال 1399'!D10,'سال 1400'!D10,'سال 1401'!D10,'سال 1402'!D10,'سال 1403'!D10)</x:f>
        <x:v>0.6493</x:v>
      </x:c>
      <x:c r="C46" s="60" t="n">
        <x:f>MAX('سال 1392'!D10,'سال 1393'!D10,'سال 1394'!D10,'سال 1395'!D10,'سال 1396'!D10,'سال 1397'!D10,'سال 1398'!D10,'سال 1399'!D10,'سال 1400'!D10,'سال 1401'!D10,'سال 1402'!D10,'سال 1403'!D10)</x:f>
        <x:v>0.9085</x:v>
      </x:c>
      <x:c r="D46" s="66" t="n">
        <x:f>C46-B46</x:f>
        <x:v>0.2592</x:v>
      </x:c>
      <x:c r="F46" t="str">
        <x:v>روغن و چربی</x:v>
      </x:c>
      <x:c r="G46" s="61" t="n">
        <x:f>MIN('سال 1392'!E10,'سال 1393'!E10,'سال 1394'!E10,'سال 1395'!E10,'سال 1396'!E10,'سال 1397'!E10,'سال 1398'!E10,'سال 1399'!E10,'سال 1400'!E10,'سال 1401'!E10,'سال 1402'!E10,'سال 1403'!E10)</x:f>
        <x:v>1.0034</x:v>
      </x:c>
      <x:c r="H46" s="61" t="n">
        <x:f>MAX('سال 1392'!E10,'سال 1393'!E10,'سال 1394'!E10,'سال 1395'!E10,'سال 1396'!E10,'سال 1397'!E10,'سال 1398'!E10,'سال 1399'!E10,'سال 1400'!E10,'سال 1401'!E10,'سال 1402'!E10,'سال 1403'!E10)</x:f>
        <x:v>1.1074</x:v>
      </x:c>
      <x:c r="I46" s="66" t="n">
        <x:f>H46-G46</x:f>
        <x:v>0.10399999999999987</x:v>
      </x:c>
    </x:row>
    <x:row r="47" ht="22" customHeight="1">
      <x:c r="A47" t="str">
        <x:v>میوه</x:v>
      </x:c>
      <x:c r="B47" s="60" t="n">
        <x:f>MIN('سال 1392'!D11,'سال 1393'!D11,'سال 1394'!D11,'سال 1395'!D11,'سال 1396'!D11,'سال 1397'!D11,'سال 1398'!D11,'سال 1399'!D11,'سال 1400'!D11,'سال 1401'!D11,'سال 1402'!D11,'سال 1403'!D11)</x:f>
        <x:v>1.2018</x:v>
      </x:c>
      <x:c r="C47" s="60" t="n">
        <x:f>MAX('سال 1392'!D11,'سال 1393'!D11,'سال 1394'!D11,'سال 1395'!D11,'سال 1396'!D11,'سال 1397'!D11,'سال 1398'!D11,'سال 1399'!D11,'سال 1400'!D11,'سال 1401'!D11,'سال 1402'!D11,'سال 1403'!D11)</x:f>
        <x:v>1.4387</x:v>
      </x:c>
      <x:c r="D47" s="66" t="n">
        <x:f>C47-B47</x:f>
        <x:v>0.2369000000000001</x:v>
      </x:c>
      <x:c r="F47" t="str">
        <x:v>میوه</x:v>
      </x:c>
      <x:c r="G47" s="61" t="n">
        <x:f>MIN('سال 1392'!E11,'سال 1393'!E11,'سال 1394'!E11,'سال 1395'!E11,'سال 1396'!E11,'سال 1397'!E11,'سال 1398'!E11,'سال 1399'!E11,'سال 1400'!E11,'سال 1401'!E11,'سال 1402'!E11,'سال 1403'!E11)</x:f>
        <x:v>1.242</x:v>
      </x:c>
      <x:c r="H47" s="61" t="n">
        <x:f>MAX('سال 1392'!E11,'سال 1393'!E11,'سال 1394'!E11,'سال 1395'!E11,'سال 1396'!E11,'سال 1397'!E11,'سال 1398'!E11,'سال 1399'!E11,'سال 1400'!E11,'سال 1401'!E11,'سال 1402'!E11,'سال 1403'!E11)</x:f>
        <x:v>1.4455</x:v>
      </x:c>
      <x:c r="I47" s="66" t="n">
        <x:f>H47-G47</x:f>
        <x:v>0.20350000000000001</x:v>
      </x:c>
    </x:row>
    <x:row r="48" ht="22" customHeight="1">
      <x:c r="A48" t="str">
        <x:v>سبزیجات و سیب‌زمینی</x:v>
      </x:c>
      <x:c r="B48" s="60" t="n">
        <x:f>MIN('سال 1392'!D12,'سال 1393'!D12,'سال 1394'!D12,'سال 1395'!D12,'سال 1396'!D12,'سال 1397'!D12,'سال 1398'!D12,'سال 1399'!D12,'سال 1400'!D12,'سال 1401'!D12,'سال 1402'!D12,'سال 1403'!D12)</x:f>
        <x:v>0.6902</x:v>
      </x:c>
      <x:c r="C48" s="60" t="n">
        <x:f>MAX('سال 1392'!D12,'سال 1393'!D12,'سال 1394'!D12,'سال 1395'!D12,'سال 1396'!D12,'سال 1397'!D12,'سال 1398'!D12,'سال 1399'!D12,'سال 1400'!D12,'سال 1401'!D12,'سال 1402'!D12,'سال 1403'!D12)</x:f>
        <x:v>0.7925</x:v>
      </x:c>
      <x:c r="D48" s="66" t="n">
        <x:f>C48-B48</x:f>
        <x:v>0.10229999999999995</x:v>
      </x:c>
      <x:c r="F48" t="str">
        <x:v>سبزیجات و سیب‌زمینی</x:v>
      </x:c>
      <x:c r="G48" s="61" t="n">
        <x:f>MIN('سال 1392'!E12,'سال 1393'!E12,'سال 1394'!E12,'سال 1395'!E12,'سال 1396'!E12,'سال 1397'!E12,'سال 1398'!E12,'سال 1399'!E12,'سال 1400'!E12,'سال 1401'!E12,'سال 1402'!E12,'سال 1403'!E12)</x:f>
        <x:v>0.6097</x:v>
      </x:c>
      <x:c r="H48" s="61" t="n">
        <x:f>MAX('سال 1392'!E12,'سال 1393'!E12,'سال 1394'!E12,'سال 1395'!E12,'سال 1396'!E12,'سال 1397'!E12,'سال 1398'!E12,'سال 1399'!E12,'سال 1400'!E12,'سال 1401'!E12,'سال 1402'!E12,'سال 1403'!E12)</x:f>
        <x:v>0.7367</x:v>
      </x:c>
      <x:c r="I48" s="66" t="n">
        <x:f>H48-G48</x:f>
        <x:v>0.127</x:v>
      </x:c>
    </x:row>
    <x:row r="49" ht="22" customHeight="1">
      <x:c r="A49" t="str">
        <x:v>حبوبات</x:v>
      </x:c>
      <x:c r="B49" s="60" t="n">
        <x:f>MIN('سال 1392'!D13,'سال 1393'!D13,'سال 1394'!D13,'سال 1395'!D13,'سال 1396'!D13,'سال 1397'!D13,'سال 1398'!D13,'سال 1399'!D13,'سال 1400'!D13,'سال 1401'!D13,'سال 1402'!D13,'سال 1403'!D13)</x:f>
        <x:v>0.9134</x:v>
      </x:c>
      <x:c r="C49" s="60" t="n">
        <x:f>MAX('سال 1392'!D13,'سال 1393'!D13,'سال 1394'!D13,'سال 1395'!D13,'سال 1396'!D13,'سال 1397'!D13,'سال 1398'!D13,'سال 1399'!D13,'سال 1400'!D13,'سال 1401'!D13,'سال 1402'!D13,'سال 1403'!D13)</x:f>
        <x:v>1.0492</x:v>
      </x:c>
      <x:c r="D49" s="66" t="n">
        <x:f>C49-B49</x:f>
        <x:v>0.13579999999999992</x:v>
      </x:c>
      <x:c r="F49" t="str">
        <x:v>حبوبات</x:v>
      </x:c>
      <x:c r="G49" s="61" t="n">
        <x:f>MIN('سال 1392'!E13,'سال 1393'!E13,'سال 1394'!E13,'سال 1395'!E13,'سال 1396'!E13,'سال 1397'!E13,'سال 1398'!E13,'سال 1399'!E13,'سال 1400'!E13,'سال 1401'!E13,'سال 1402'!E13,'سال 1403'!E13)</x:f>
        <x:v>1.1719</x:v>
      </x:c>
      <x:c r="H49" s="61" t="n">
        <x:f>MAX('سال 1392'!E13,'سال 1393'!E13,'سال 1394'!E13,'سال 1395'!E13,'سال 1396'!E13,'سال 1397'!E13,'سال 1398'!E13,'سال 1399'!E13,'سال 1400'!E13,'سال 1401'!E13,'سال 1402'!E13,'سال 1403'!E13)</x:f>
        <x:v>1.3185</x:v>
      </x:c>
      <x:c r="I49" s="66" t="n">
        <x:f>H49-G49</x:f>
        <x:v>0.14660000000000006</x:v>
      </x:c>
    </x:row>
    <x:row r="50" ht="22" customHeight="1">
      <x:c r="A50" t="str">
        <x:v>مغزها، خشکبار و خرما</x:v>
      </x:c>
      <x:c r="B50" s="60" t="n">
        <x:f>MIN('سال 1392'!D14,'سال 1393'!D14,'سال 1394'!D14,'سال 1395'!D14,'سال 1396'!D14,'سال 1397'!D14,'سال 1398'!D14,'سال 1399'!D14,'سال 1400'!D14,'سال 1401'!D14,'سال 1402'!D14,'سال 1403'!D14)</x:f>
        <x:v>2.0386</x:v>
      </x:c>
      <x:c r="C50" s="60" t="n">
        <x:f>MAX('سال 1392'!D14,'سال 1393'!D14,'سال 1394'!D14,'سال 1395'!D14,'سال 1396'!D14,'سال 1397'!D14,'سال 1398'!D14,'سال 1399'!D14,'سال 1400'!D14,'سال 1401'!D14,'سال 1402'!D14,'سال 1403'!D14)</x:f>
        <x:v>2.3249</x:v>
      </x:c>
      <x:c r="D50" s="66" t="n">
        <x:f>C50-B50</x:f>
        <x:v>0.2862999999999998</x:v>
      </x:c>
      <x:c r="F50" t="str">
        <x:v>مغزها، خشکبار و خرما</x:v>
      </x:c>
      <x:c r="G50" s="61" t="n">
        <x:f>MIN('سال 1392'!E14,'سال 1393'!E14,'سال 1394'!E14,'سال 1395'!E14,'سال 1396'!E14,'سال 1397'!E14,'سال 1398'!E14,'سال 1399'!E14,'سال 1400'!E14,'سال 1401'!E14,'سال 1402'!E14,'سال 1403'!E14)</x:f>
        <x:v>1.5255</x:v>
      </x:c>
      <x:c r="H50" s="61" t="n">
        <x:f>MAX('سال 1392'!E14,'سال 1393'!E14,'سال 1394'!E14,'سال 1395'!E14,'سال 1396'!E14,'سال 1397'!E14,'سال 1398'!E14,'سال 1399'!E14,'سال 1400'!E14,'سال 1401'!E14,'سال 1402'!E14,'سال 1403'!E14)</x:f>
        <x:v>1.7607</x:v>
      </x:c>
      <x:c r="I50" s="66" t="n">
        <x:f>H50-G50</x:f>
        <x:v>0.23519999999999985</x:v>
      </x:c>
    </x:row>
    <x:row r="51" ht="22" customHeight="1">
      <x:c r="A51" t="str">
        <x:v>قند، شیرینی و تنقلات</x:v>
      </x:c>
      <x:c r="B51" s="60" t="n">
        <x:f>MIN('سال 1392'!D15,'سال 1393'!D15,'سال 1394'!D15,'سال 1395'!D15,'سال 1396'!D15,'سال 1397'!D15,'سال 1398'!D15,'سال 1399'!D15,'سال 1400'!D15,'سال 1401'!D15,'سال 1402'!D15,'سال 1403'!D15)</x:f>
        <x:v>0.9632</x:v>
      </x:c>
      <x:c r="C51" s="60" t="n">
        <x:f>MAX('سال 1392'!D15,'سال 1393'!D15,'سال 1394'!D15,'سال 1395'!D15,'سال 1396'!D15,'سال 1397'!D15,'سال 1398'!D15,'سال 1399'!D15,'سال 1400'!D15,'سال 1401'!D15,'سال 1402'!D15,'سال 1403'!D15)</x:f>
        <x:v>1.0427</x:v>
      </x:c>
      <x:c r="D51" s="66" t="n">
        <x:f>C51-B51</x:f>
        <x:v>0.07950000000000002</x:v>
      </x:c>
      <x:c r="F51" t="str">
        <x:v>قند، شیرینی و تنقلات</x:v>
      </x:c>
      <x:c r="G51" s="61" t="n">
        <x:f>MIN('سال 1392'!E15,'سال 1393'!E15,'سال 1394'!E15,'سال 1395'!E15,'سال 1396'!E15,'سال 1397'!E15,'سال 1398'!E15,'سال 1399'!E15,'سال 1400'!E15,'سال 1401'!E15,'سال 1402'!E15,'سال 1403'!E15)</x:f>
        <x:v>0.9323</x:v>
      </x:c>
      <x:c r="H51" s="61" t="n">
        <x:f>MAX('سال 1392'!E15,'سال 1393'!E15,'سال 1394'!E15,'سال 1395'!E15,'سال 1396'!E15,'سال 1397'!E15,'سال 1398'!E15,'سال 1399'!E15,'سال 1400'!E15,'سال 1401'!E15,'سال 1402'!E15,'سال 1403'!E15)</x:f>
        <x:v>1.0073</x:v>
      </x:c>
      <x:c r="I51" s="66" t="n">
        <x:f>H51-G51</x:f>
        <x:v>0.07500000000000007</x:v>
      </x:c>
    </x:row>
    <x:row r="52" ht="22" customHeight="1">
      <x:c r="A52" t="str">
        <x:v>نوشیدنی بدون نوشابه</x:v>
      </x:c>
      <x:c r="B52" s="60" t="n">
        <x:f>MIN('سال 1392'!D16,'سال 1393'!D16,'سال 1394'!D16,'سال 1395'!D16,'سال 1396'!D16,'سال 1397'!D16,'سال 1398'!D16,'سال 1399'!D16,'سال 1400'!D16,'سال 1401'!D16,'سال 1402'!D16,'سال 1403'!D16)</x:f>
        <x:v>0.8052</x:v>
      </x:c>
      <x:c r="C52" s="60" t="n">
        <x:f>MAX('سال 1392'!D16,'سال 1393'!D16,'سال 1394'!D16,'سال 1395'!D16,'سال 1396'!D16,'سال 1397'!D16,'سال 1398'!D16,'سال 1399'!D16,'سال 1400'!D16,'سال 1401'!D16,'سال 1402'!D16,'سال 1403'!D16)</x:f>
        <x:v>0.9918</x:v>
      </x:c>
      <x:c r="D52" s="66" t="n">
        <x:f>C52-B52</x:f>
        <x:v>0.1866</x:v>
      </x:c>
      <x:c r="F52" t="str">
        <x:v>نوشیدنی بدون نوشابه</x:v>
      </x:c>
      <x:c r="G52" s="61" t="n">
        <x:f>MIN('سال 1392'!E16,'سال 1393'!E16,'سال 1394'!E16,'سال 1395'!E16,'سال 1396'!E16,'سال 1397'!E16,'سال 1398'!E16,'سال 1399'!E16,'سال 1400'!E16,'سال 1401'!E16,'سال 1402'!E16,'سال 1403'!E16)</x:f>
        <x:v>0.9951</x:v>
      </x:c>
      <x:c r="H52" s="61" t="n">
        <x:f>MAX('سال 1392'!E16,'سال 1393'!E16,'سال 1394'!E16,'سال 1395'!E16,'سال 1396'!E16,'سال 1397'!E16,'سال 1398'!E16,'سال 1399'!E16,'سال 1400'!E16,'سال 1401'!E16,'سال 1402'!E16,'سال 1403'!E16)</x:f>
        <x:v>1.2021</x:v>
      </x:c>
      <x:c r="I52" s="66" t="n">
        <x:f>H52-G52</x:f>
        <x:v>0.20699999999999996</x:v>
      </x:c>
    </x:row>
    <x:row r="53" ht="22" customHeight="1">
      <x:c r="A53" t="str">
        <x:v>ادویه و چاشنی</x:v>
      </x:c>
      <x:c r="B53" s="60" t="n">
        <x:f>MIN('سال 1392'!D17,'سال 1393'!D17,'سال 1394'!D17,'سال 1395'!D17,'سال 1396'!D17,'سال 1397'!D17,'سال 1398'!D17,'سال 1399'!D17,'سال 1400'!D17,'سال 1401'!D17,'سال 1402'!D17,'سال 1403'!D17)</x:f>
        <x:v>0.7801</x:v>
      </x:c>
      <x:c r="C53" s="60" t="n">
        <x:f>MAX('سال 1392'!D17,'سال 1393'!D17,'سال 1394'!D17,'سال 1395'!D17,'سال 1396'!D17,'سال 1397'!D17,'سال 1398'!D17,'سال 1399'!D17,'سال 1400'!D17,'سال 1401'!D17,'سال 1402'!D17,'سال 1403'!D17)</x:f>
        <x:v>0.8801</x:v>
      </x:c>
      <x:c r="D53" s="66" t="n">
        <x:f>C53-B53</x:f>
        <x:v>0.09999999999999998</x:v>
      </x:c>
      <x:c r="F53" t="str">
        <x:v>ادویه و چاشنی</x:v>
      </x:c>
      <x:c r="G53" s="61" t="n">
        <x:f>MIN('سال 1392'!E17,'سال 1393'!E17,'سال 1394'!E17,'سال 1395'!E17,'سال 1396'!E17,'سال 1397'!E17,'سال 1398'!E17,'سال 1399'!E17,'سال 1400'!E17,'سال 1401'!E17,'سال 1402'!E17,'سال 1403'!E17)</x:f>
        <x:v>0.6057</x:v>
      </x:c>
      <x:c r="H53" s="61" t="n">
        <x:f>MAX('سال 1392'!E17,'سال 1393'!E17,'سال 1394'!E17,'سال 1395'!E17,'سال 1396'!E17,'سال 1397'!E17,'سال 1398'!E17,'سال 1399'!E17,'سال 1400'!E17,'سال 1401'!E17,'سال 1402'!E17,'سال 1403'!E17)</x:f>
        <x:v>0.7541</x:v>
      </x:c>
      <x:c r="I53" s="66" t="n">
        <x:f>H53-G53</x:f>
        <x:v>0.14839999999999998</x:v>
      </x:c>
    </x:row>
    <x:row r="58" ht="27" customHeight="1">
      <x:c r="A58" s="13" t="str">
        <x:v>کوهرت • کشش مخارج غذایی | B1</x:v>
      </x:c>
      <x:c r="B58" s="13"/>
      <x:c r="C58" s="13"/>
      <x:c r="D58" s="13"/>
      <x:c r="F58" s="53" t="str">
        <x:v>کوهرت • کشش مخارج غذایی | B2</x:v>
      </x:c>
      <x:c r="G58" s="53"/>
      <x:c r="H58" s="53"/>
      <x:c r="I58" s="53"/>
    </x:row>
    <x:row r="59" ht="23" customHeight="1">
      <x:c r="A59" s="46" t="str">
        <x:v>گروه کالایی</x:v>
      </x:c>
      <x:c r="B59" s="46" t="str">
        <x:v>کمینه</x:v>
      </x:c>
      <x:c r="C59" s="46" t="str">
        <x:v>بیشینه</x:v>
      </x:c>
      <x:c r="D59" s="46" t="str">
        <x:v>دامنه</x:v>
      </x:c>
      <x:c r="F59" s="57" t="str">
        <x:v>گروه کالایی</x:v>
      </x:c>
      <x:c r="G59" s="57" t="str">
        <x:v>کمینه</x:v>
      </x:c>
      <x:c r="H59" s="57" t="str">
        <x:v>بیشینه</x:v>
      </x:c>
      <x:c r="I59" s="57" t="str">
        <x:v>دامنه</x:v>
      </x:c>
    </x:row>
    <x:row r="60" ht="22" customHeight="1">
      <x:c r="A60" t="str">
        <x:v>برنج</x:v>
      </x:c>
      <x:c r="B60" s="60" t="n">
        <x:f>MIN('کوهرت 1392'!D6,'کوهرت 1393'!D6,'کوهرت 1394'!D6,'کوهرت 1397'!D6,'کوهرت 1398'!D6,'کوهرت 1399'!D6,'کوهرت 1400'!D6,'کوهرت 1401'!D6)</x:f>
        <x:v>1.5573</x:v>
      </x:c>
      <x:c r="C60" s="60" t="n">
        <x:f>MAX('کوهرت 1392'!D6,'کوهرت 1393'!D6,'کوهرت 1394'!D6,'کوهرت 1397'!D6,'کوهرت 1398'!D6,'کوهرت 1399'!D6,'کوهرت 1400'!D6,'کوهرت 1401'!D6)</x:f>
        <x:v>1.5723</x:v>
      </x:c>
      <x:c r="D60" s="66" t="n">
        <x:f>C60-B60</x:f>
        <x:v>0.015000000000000124</x:v>
      </x:c>
      <x:c r="F60" t="str">
        <x:v>برنج</x:v>
      </x:c>
      <x:c r="G60" s="61" t="n">
        <x:f>MIN('کوهرت 1392'!E6,'کوهرت 1393'!E6,'کوهرت 1394'!E6,'کوهرت 1397'!E6,'کوهرت 1398'!E6,'کوهرت 1399'!E6,'کوهرت 1400'!E6,'کوهرت 1401'!E6)</x:f>
        <x:v>1.61</x:v>
      </x:c>
      <x:c r="H60" s="61" t="n">
        <x:f>MAX('کوهرت 1392'!E6,'کوهرت 1393'!E6,'کوهرت 1394'!E6,'کوهرت 1397'!E6,'کوهرت 1398'!E6,'کوهرت 1399'!E6,'کوهرت 1400'!E6,'کوهرت 1401'!E6)</x:f>
        <x:v>1.6254</x:v>
      </x:c>
      <x:c r="I60" s="66" t="n">
        <x:f>H60-G60</x:f>
        <x:v>0.015399999999999858</x:v>
      </x:c>
    </x:row>
    <x:row r="61" ht="22" customHeight="1">
      <x:c r="A61" t="str">
        <x:v>نان و غلات</x:v>
      </x:c>
      <x:c r="B61" s="60" t="n">
        <x:f>MIN('کوهرت 1392'!D7,'کوهرت 1393'!D7,'کوهرت 1394'!D7,'کوهرت 1397'!D7,'کوهرت 1398'!D7,'کوهرت 1399'!D7,'کوهرت 1400'!D7,'کوهرت 1401'!D7)</x:f>
        <x:v>0.0041</x:v>
      </x:c>
      <x:c r="C61" s="60" t="n">
        <x:f>MAX('کوهرت 1392'!D7,'کوهرت 1393'!D7,'کوهرت 1394'!D7,'کوهرت 1397'!D7,'کوهرت 1398'!D7,'کوهرت 1399'!D7,'کوهرت 1400'!D7,'کوهرت 1401'!D7)</x:f>
        <x:v>0.6093</x:v>
      </x:c>
      <x:c r="D61" s="66" t="n">
        <x:f>C61-B61</x:f>
        <x:v>0.6052</x:v>
      </x:c>
      <x:c r="F61" t="str">
        <x:v>نان و غلات</x:v>
      </x:c>
      <x:c r="G61" s="61" t="n">
        <x:f>MIN('کوهرت 1392'!E7,'کوهرت 1393'!E7,'کوهرت 1394'!E7,'کوهرت 1397'!E7,'کوهرت 1398'!E7,'کوهرت 1399'!E7,'کوهرت 1400'!E7,'کوهرت 1401'!E7)</x:f>
        <x:v>-0.1799</x:v>
      </x:c>
      <x:c r="H61" s="61" t="n">
        <x:f>MAX('کوهرت 1392'!E7,'کوهرت 1393'!E7,'کوهرت 1394'!E7,'کوهرت 1397'!E7,'کوهرت 1398'!E7,'کوهرت 1399'!E7,'کوهرت 1400'!E7,'کوهرت 1401'!E7)</x:f>
        <x:v>0.5268</x:v>
      </x:c>
      <x:c r="I61" s="66" t="n">
        <x:f>H61-G61</x:f>
        <x:v>0.7067000000000001</x:v>
      </x:c>
    </x:row>
    <x:row r="62" ht="22" customHeight="1">
      <x:c r="A62" t="str">
        <x:v>گوشت</x:v>
      </x:c>
      <x:c r="B62" s="60" t="n">
        <x:f>MIN('کوهرت 1392'!D8,'کوهرت 1393'!D8,'کوهرت 1394'!D8,'کوهرت 1397'!D8,'کوهرت 1398'!D8,'کوهرت 1399'!D8,'کوهرت 1400'!D8,'کوهرت 1401'!D8)</x:f>
        <x:v>1.2327</x:v>
      </x:c>
      <x:c r="C62" s="60" t="n">
        <x:f>MAX('کوهرت 1392'!D8,'کوهرت 1393'!D8,'کوهرت 1394'!D8,'کوهرت 1397'!D8,'کوهرت 1398'!D8,'کوهرت 1399'!D8,'کوهرت 1400'!D8,'کوهرت 1401'!D8)</x:f>
        <x:v>1.2487</x:v>
      </x:c>
      <x:c r="D62" s="66" t="n">
        <x:f>C62-B62</x:f>
        <x:v>0.016000000000000014</x:v>
      </x:c>
      <x:c r="F62" t="str">
        <x:v>گوشت</x:v>
      </x:c>
      <x:c r="G62" s="61" t="n">
        <x:f>MIN('کوهرت 1392'!E8,'کوهرت 1393'!E8,'کوهرت 1394'!E8,'کوهرت 1397'!E8,'کوهرت 1398'!E8,'کوهرت 1399'!E8,'کوهرت 1400'!E8,'کوهرت 1401'!E8)</x:f>
        <x:v>1.2542</x:v>
      </x:c>
      <x:c r="H62" s="61" t="n">
        <x:f>MAX('کوهرت 1392'!E8,'کوهرت 1393'!E8,'کوهرت 1394'!E8,'کوهرت 1397'!E8,'کوهرت 1398'!E8,'کوهرت 1399'!E8,'کوهرت 1400'!E8,'کوهرت 1401'!E8)</x:f>
        <x:v>1.2695</x:v>
      </x:c>
      <x:c r="I62" s="66" t="n">
        <x:f>H62-G62</x:f>
        <x:v>0.015300000000000091</x:v>
      </x:c>
    </x:row>
    <x:row r="63" ht="22" customHeight="1">
      <x:c r="A63" t="str">
        <x:v>لبنیات و تخم‌مرغ</x:v>
      </x:c>
      <x:c r="B63" s="60" t="n">
        <x:f>MIN('کوهرت 1392'!D9,'کوهرت 1393'!D9,'کوهرت 1394'!D9,'کوهرت 1397'!D9,'کوهرت 1398'!D9,'کوهرت 1399'!D9,'کوهرت 1400'!D9,'کوهرت 1401'!D9)</x:f>
        <x:v>0.8473</x:v>
      </x:c>
      <x:c r="C63" s="60" t="n">
        <x:f>MAX('کوهرت 1392'!D9,'کوهرت 1393'!D9,'کوهرت 1394'!D9,'کوهرت 1397'!D9,'کوهرت 1398'!D9,'کوهرت 1399'!D9,'کوهرت 1400'!D9,'کوهرت 1401'!D9)</x:f>
        <x:v>0.8663</x:v>
      </x:c>
      <x:c r="D63" s="66" t="n">
        <x:f>C63-B63</x:f>
        <x:v>0.018999999999999906</x:v>
      </x:c>
      <x:c r="F63" t="str">
        <x:v>لبنیات و تخم‌مرغ</x:v>
      </x:c>
      <x:c r="G63" s="61" t="n">
        <x:f>MIN('کوهرت 1392'!E9,'کوهرت 1393'!E9,'کوهرت 1394'!E9,'کوهرت 1397'!E9,'کوهرت 1398'!E9,'کوهرت 1399'!E9,'کوهرت 1400'!E9,'کوهرت 1401'!E9)</x:f>
        <x:v>0.8226</x:v>
      </x:c>
      <x:c r="H63" s="61" t="n">
        <x:f>MAX('کوهرت 1392'!E9,'کوهرت 1393'!E9,'کوهرت 1394'!E9,'کوهرت 1397'!E9,'کوهرت 1398'!E9,'کوهرت 1399'!E9,'کوهرت 1400'!E9,'کوهرت 1401'!E9)</x:f>
        <x:v>0.8443</x:v>
      </x:c>
      <x:c r="I63" s="66" t="n">
        <x:f>H63-G63</x:f>
        <x:v>0.021700000000000053</x:v>
      </x:c>
    </x:row>
    <x:row r="64" ht="22" customHeight="1">
      <x:c r="A64" t="str">
        <x:v>روغن و چربی</x:v>
      </x:c>
      <x:c r="B64" s="60" t="n">
        <x:f>MIN('کوهرت 1392'!D10,'کوهرت 1393'!D10,'کوهرت 1394'!D10,'کوهرت 1397'!D10,'کوهرت 1398'!D10,'کوهرت 1399'!D10,'کوهرت 1400'!D10,'کوهرت 1401'!D10)</x:f>
        <x:v>0.6557</x:v>
      </x:c>
      <x:c r="C64" s="60" t="n">
        <x:f>MAX('کوهرت 1392'!D10,'کوهرت 1393'!D10,'کوهرت 1394'!D10,'کوهرت 1397'!D10,'کوهرت 1398'!D10,'کوهرت 1399'!D10,'کوهرت 1400'!D10,'کوهرت 1401'!D10)</x:f>
        <x:v>0.8441</x:v>
      </x:c>
      <x:c r="D64" s="66" t="n">
        <x:f>C64-B64</x:f>
        <x:v>0.1884</x:v>
      </x:c>
      <x:c r="F64" t="str">
        <x:v>روغن و چربی</x:v>
      </x:c>
      <x:c r="G64" s="61" t="n">
        <x:f>MIN('کوهرت 1392'!E10,'کوهرت 1393'!E10,'کوهرت 1394'!E10,'کوهرت 1397'!E10,'کوهرت 1398'!E10,'کوهرت 1399'!E10,'کوهرت 1400'!E10,'کوهرت 1401'!E10)</x:f>
        <x:v>1.0088</x:v>
      </x:c>
      <x:c r="H64" s="61" t="n">
        <x:f>MAX('کوهرت 1392'!E10,'کوهرت 1393'!E10,'کوهرت 1394'!E10,'کوهرت 1397'!E10,'کوهرت 1398'!E10,'کوهرت 1399'!E10,'کوهرت 1400'!E10,'کوهرت 1401'!E10)</x:f>
        <x:v>1.089</x:v>
      </x:c>
      <x:c r="I64" s="66" t="n">
        <x:f>H64-G64</x:f>
        <x:v>0.08020000000000005</x:v>
      </x:c>
    </x:row>
    <x:row r="65" ht="22" customHeight="1">
      <x:c r="A65" t="str">
        <x:v>میوه</x:v>
      </x:c>
      <x:c r="B65" s="60" t="n">
        <x:f>MIN('کوهرت 1392'!D11,'کوهرت 1393'!D11,'کوهرت 1394'!D11,'کوهرت 1397'!D11,'کوهرت 1398'!D11,'کوهرت 1399'!D11,'کوهرت 1400'!D11,'کوهرت 1401'!D11)</x:f>
        <x:v>1.2193</x:v>
      </x:c>
      <x:c r="C65" s="60" t="n">
        <x:f>MAX('کوهرت 1392'!D11,'کوهرت 1393'!D11,'کوهرت 1394'!D11,'کوهرت 1397'!D11,'کوهرت 1398'!D11,'کوهرت 1399'!D11,'کوهرت 1400'!D11,'کوهرت 1401'!D11)</x:f>
        <x:v>1.3684</x:v>
      </x:c>
      <x:c r="D65" s="66" t="n">
        <x:f>C65-B65</x:f>
        <x:v>0.1491</x:v>
      </x:c>
      <x:c r="F65" t="str">
        <x:v>میوه</x:v>
      </x:c>
      <x:c r="G65" s="61" t="n">
        <x:f>MIN('کوهرت 1392'!E11,'کوهرت 1393'!E11,'کوهرت 1394'!E11,'کوهرت 1397'!E11,'کوهرت 1398'!E11,'کوهرت 1399'!E11,'کوهرت 1400'!E11,'کوهرت 1401'!E11)</x:f>
        <x:v>1.2558</x:v>
      </x:c>
      <x:c r="H65" s="61" t="n">
        <x:f>MAX('کوهرت 1392'!E11,'کوهرت 1393'!E11,'کوهرت 1394'!E11,'کوهرت 1397'!E11,'کوهرت 1398'!E11,'کوهرت 1399'!E11,'کوهرت 1400'!E11,'کوهرت 1401'!E11)</x:f>
        <x:v>1.3906</x:v>
      </x:c>
      <x:c r="I65" s="66" t="n">
        <x:f>H65-G65</x:f>
        <x:v>0.13480000000000003</x:v>
      </x:c>
    </x:row>
    <x:row r="66" ht="22" customHeight="1">
      <x:c r="A66" t="str">
        <x:v>سبزیجات و سیب‌زمینی</x:v>
      </x:c>
      <x:c r="B66" s="60" t="n">
        <x:f>MIN('کوهرت 1392'!D12,'کوهرت 1393'!D12,'کوهرت 1394'!D12,'کوهرت 1397'!D12,'کوهرت 1398'!D12,'کوهرت 1399'!D12,'کوهرت 1400'!D12,'کوهرت 1401'!D12)</x:f>
        <x:v>0.7049</x:v>
      </x:c>
      <x:c r="C66" s="60" t="n">
        <x:f>MAX('کوهرت 1392'!D12,'کوهرت 1393'!D12,'کوهرت 1394'!D12,'کوهرت 1397'!D12,'کوهرت 1398'!D12,'کوهرت 1399'!D12,'کوهرت 1400'!D12,'کوهرت 1401'!D12)</x:f>
        <x:v>0.7867</x:v>
      </x:c>
      <x:c r="D66" s="66" t="n">
        <x:f>C66-B66</x:f>
        <x:v>0.08179999999999998</x:v>
      </x:c>
      <x:c r="F66" t="str">
        <x:v>سبزیجات و سیب‌زمینی</x:v>
      </x:c>
      <x:c r="G66" s="61" t="n">
        <x:f>MIN('کوهرت 1392'!E12,'کوهرت 1393'!E12,'کوهرت 1394'!E12,'کوهرت 1397'!E12,'کوهرت 1398'!E12,'کوهرت 1399'!E12,'کوهرت 1400'!E12,'کوهرت 1401'!E12)</x:f>
        <x:v>0.6263</x:v>
      </x:c>
      <x:c r="H66" s="61" t="n">
        <x:f>MAX('کوهرت 1392'!E12,'کوهرت 1393'!E12,'کوهرت 1394'!E12,'کوهرت 1397'!E12,'کوهرت 1398'!E12,'کوهرت 1399'!E12,'کوهرت 1400'!E12,'کوهرت 1401'!E12)</x:f>
        <x:v>0.729</x:v>
      </x:c>
      <x:c r="I66" s="66" t="n">
        <x:f>H66-G66</x:f>
        <x:v>0.10270000000000001</x:v>
      </x:c>
    </x:row>
    <x:row r="67" ht="22" customHeight="1">
      <x:c r="A67" t="str">
        <x:v>حبوبات</x:v>
      </x:c>
      <x:c r="B67" s="60" t="n">
        <x:f>MIN('کوهرت 1392'!D13,'کوهرت 1393'!D13,'کوهرت 1394'!D13,'کوهرت 1397'!D13,'کوهرت 1398'!D13,'کوهرت 1399'!D13,'کوهرت 1400'!D13,'کوهرت 1401'!D13)</x:f>
        <x:v>0.9203</x:v>
      </x:c>
      <x:c r="C67" s="60" t="n">
        <x:f>MAX('کوهرت 1392'!D13,'کوهرت 1393'!D13,'کوهرت 1394'!D13,'کوهرت 1397'!D13,'کوهرت 1398'!D13,'کوهرت 1399'!D13,'کوهرت 1400'!D13,'کوهرت 1401'!D13)</x:f>
        <x:v>1.0441</x:v>
      </x:c>
      <x:c r="D67" s="66" t="n">
        <x:f>C67-B67</x:f>
        <x:v>0.12380000000000002</x:v>
      </x:c>
      <x:c r="F67" t="str">
        <x:v>حبوبات</x:v>
      </x:c>
      <x:c r="G67" s="61" t="n">
        <x:f>MIN('کوهرت 1392'!E13,'کوهرت 1393'!E13,'کوهرت 1394'!E13,'کوهرت 1397'!E13,'کوهرت 1398'!E13,'کوهرت 1399'!E13,'کوهرت 1400'!E13,'کوهرت 1401'!E13)</x:f>
        <x:v>1.1805</x:v>
      </x:c>
      <x:c r="H67" s="61" t="n">
        <x:f>MAX('کوهرت 1392'!E13,'کوهرت 1393'!E13,'کوهرت 1394'!E13,'کوهرت 1397'!E13,'کوهرت 1398'!E13,'کوهرت 1399'!E13,'کوهرت 1400'!E13,'کوهرت 1401'!E13)</x:f>
        <x:v>1.3123</x:v>
      </x:c>
      <x:c r="I67" s="66" t="n">
        <x:f>H67-G67</x:f>
        <x:v>0.13179999999999992</x:v>
      </x:c>
    </x:row>
    <x:row r="68" ht="22" customHeight="1">
      <x:c r="A68" t="str">
        <x:v>مغزها، خشکبار و خرما</x:v>
      </x:c>
      <x:c r="B68" s="60" t="n">
        <x:f>MIN('کوهرت 1392'!D14,'کوهرت 1393'!D14,'کوهرت 1394'!D14,'کوهرت 1397'!D14,'کوهرت 1398'!D14,'کوهرت 1399'!D14,'کوهرت 1400'!D14,'کوهرت 1401'!D14)</x:f>
        <x:v>2.065</x:v>
      </x:c>
      <x:c r="C68" s="60" t="n">
        <x:f>MAX('کوهرت 1392'!D14,'کوهرت 1393'!D14,'کوهرت 1394'!D14,'کوهرت 1397'!D14,'کوهرت 1398'!D14,'کوهرت 1399'!D14,'کوهرت 1400'!D14,'کوهرت 1401'!D14)</x:f>
        <x:v>2.3018</x:v>
      </x:c>
      <x:c r="D68" s="66" t="n">
        <x:f>C68-B68</x:f>
        <x:v>0.23680000000000012</x:v>
      </x:c>
      <x:c r="F68" t="str">
        <x:v>مغزها، خشکبار و خرما</x:v>
      </x:c>
      <x:c r="G68" s="61" t="n">
        <x:f>MIN('کوهرت 1392'!E14,'کوهرت 1393'!E14,'کوهرت 1394'!E14,'کوهرت 1397'!E14,'کوهرت 1398'!E14,'کوهرت 1399'!E14,'کوهرت 1400'!E14,'کوهرت 1401'!E14)</x:f>
        <x:v>1.5745</x:v>
      </x:c>
      <x:c r="H68" s="61" t="n">
        <x:f>MAX('کوهرت 1392'!E14,'کوهرت 1393'!E14,'کوهرت 1394'!E14,'کوهرت 1397'!E14,'کوهرت 1398'!E14,'کوهرت 1399'!E14,'کوهرت 1400'!E14,'کوهرت 1401'!E14)</x:f>
        <x:v>1.6756</x:v>
      </x:c>
      <x:c r="I68" s="66" t="n">
        <x:f>H68-G68</x:f>
        <x:v>0.10109999999999997</x:v>
      </x:c>
    </x:row>
    <x:row r="69" ht="22" customHeight="1">
      <x:c r="A69" t="str">
        <x:v>قند، شیرینی و تنقلات</x:v>
      </x:c>
      <x:c r="B69" s="60" t="n">
        <x:f>MIN('کوهرت 1392'!D15,'کوهرت 1393'!D15,'کوهرت 1394'!D15,'کوهرت 1397'!D15,'کوهرت 1398'!D15,'کوهرت 1399'!D15,'کوهرت 1400'!D15,'کوهرت 1401'!D15)</x:f>
        <x:v>0.9738</x:v>
      </x:c>
      <x:c r="C69" s="60" t="n">
        <x:f>MAX('کوهرت 1392'!D15,'کوهرت 1393'!D15,'کوهرت 1394'!D15,'کوهرت 1397'!D15,'کوهرت 1398'!D15,'کوهرت 1399'!D15,'کوهرت 1400'!D15,'کوهرت 1401'!D15)</x:f>
        <x:v>1.0391</x:v>
      </x:c>
      <x:c r="D69" s="66" t="n">
        <x:f>C69-B69</x:f>
        <x:v>0.06529999999999991</x:v>
      </x:c>
      <x:c r="F69" t="str">
        <x:v>قند، شیرینی و تنقلات</x:v>
      </x:c>
      <x:c r="G69" s="61" t="n">
        <x:f>MIN('کوهرت 1392'!E15,'کوهرت 1393'!E15,'کوهرت 1394'!E15,'کوهرت 1397'!E15,'کوهرت 1398'!E15,'کوهرت 1399'!E15,'کوهرت 1400'!E15,'کوهرت 1401'!E15)</x:f>
        <x:v>0.9472</x:v>
      </x:c>
      <x:c r="H69" s="61" t="n">
        <x:f>MAX('کوهرت 1392'!E15,'کوهرت 1393'!E15,'کوهرت 1394'!E15,'کوهرت 1397'!E15,'کوهرت 1398'!E15,'کوهرت 1399'!E15,'کوهرت 1400'!E15,'کوهرت 1401'!E15)</x:f>
        <x:v>0.9997</x:v>
      </x:c>
      <x:c r="I69" s="66" t="n">
        <x:f>H69-G69</x:f>
        <x:v>0.05249999999999999</x:v>
      </x:c>
    </x:row>
    <x:row r="70" ht="22" customHeight="1">
      <x:c r="A70" t="str">
        <x:v>نوشیدنی بدون نوشابه</x:v>
      </x:c>
      <x:c r="B70" s="60" t="n">
        <x:f>MIN('کوهرت 1392'!D16,'کوهرت 1393'!D16,'کوهرت 1394'!D16,'کوهرت 1397'!D16,'کوهرت 1398'!D16,'کوهرت 1399'!D16,'کوهرت 1400'!D16,'کوهرت 1401'!D16)</x:f>
        <x:v>0.814</x:v>
      </x:c>
      <x:c r="C70" s="60" t="n">
        <x:f>MAX('کوهرت 1392'!D16,'کوهرت 1393'!D16,'کوهرت 1394'!D16,'کوهرت 1397'!D16,'کوهرت 1398'!D16,'کوهرت 1399'!D16,'کوهرت 1400'!D16,'کوهرت 1401'!D16)</x:f>
        <x:v>0.9687</x:v>
      </x:c>
      <x:c r="D70" s="66" t="n">
        <x:f>C70-B70</x:f>
        <x:v>0.15470000000000006</x:v>
      </x:c>
      <x:c r="F70" t="str">
        <x:v>نوشیدنی بدون نوشابه</x:v>
      </x:c>
      <x:c r="G70" s="61" t="n">
        <x:f>MIN('کوهرت 1392'!E16,'کوهرت 1393'!E16,'کوهرت 1394'!E16,'کوهرت 1397'!E16,'کوهرت 1398'!E16,'کوهرت 1399'!E16,'کوهرت 1400'!E16,'کوهرت 1401'!E16)</x:f>
        <x:v>0.9984</x:v>
      </x:c>
      <x:c r="H70" s="61" t="n">
        <x:f>MAX('کوهرت 1392'!E16,'کوهرت 1393'!E16,'کوهرت 1394'!E16,'کوهرت 1397'!E16,'کوهرت 1398'!E16,'کوهرت 1399'!E16,'کوهرت 1400'!E16,'کوهرت 1401'!E16)</x:f>
        <x:v>1.1814</x:v>
      </x:c>
      <x:c r="I70" s="66" t="n">
        <x:f>H70-G70</x:f>
        <x:v>0.18300000000000005</x:v>
      </x:c>
    </x:row>
    <x:row r="71" ht="22" customHeight="1">
      <x:c r="A71" t="str">
        <x:v>ادویه و چاشنی</x:v>
      </x:c>
      <x:c r="B71" s="60" t="n">
        <x:f>MIN('کوهرت 1392'!D17,'کوهرت 1393'!D17,'کوهرت 1394'!D17,'کوهرت 1397'!D17,'کوهرت 1398'!D17,'کوهرت 1399'!D17,'کوهرت 1400'!D17,'کوهرت 1401'!D17)</x:f>
        <x:v>0.7889</x:v>
      </x:c>
      <x:c r="C71" s="60" t="n">
        <x:f>MAX('کوهرت 1392'!D17,'کوهرت 1393'!D17,'کوهرت 1394'!D17,'کوهرت 1397'!D17,'کوهرت 1398'!D17,'کوهرت 1399'!D17,'کوهرت 1400'!D17,'کوهرت 1401'!D17)</x:f>
        <x:v>0.8738</x:v>
      </x:c>
      <x:c r="D71" s="66" t="n">
        <x:f>C71-B71</x:f>
        <x:v>0.08489999999999998</x:v>
      </x:c>
      <x:c r="F71" t="str">
        <x:v>ادویه و چاشنی</x:v>
      </x:c>
      <x:c r="G71" s="61" t="n">
        <x:f>MIN('کوهرت 1392'!E17,'کوهرت 1393'!E17,'کوهرت 1394'!E17,'کوهرت 1397'!E17,'کوهرت 1398'!E17,'کوهرت 1399'!E17,'کوهرت 1400'!E17,'کوهرت 1401'!E17)</x:f>
        <x:v>0.6173</x:v>
      </x:c>
      <x:c r="H71" s="61" t="n">
        <x:f>MAX('کوهرت 1392'!E17,'کوهرت 1393'!E17,'کوهرت 1394'!E17,'کوهرت 1397'!E17,'کوهرت 1398'!E17,'کوهرت 1399'!E17,'کوهرت 1400'!E17,'کوهرت 1401'!E17)</x:f>
        <x:v>0.7238</x:v>
      </x:c>
      <x:c r="I71" s="66" t="n">
        <x:f>H71-G71</x:f>
        <x:v>0.10650000000000004</x:v>
      </x:c>
    </x:row>
    <x:row r="76" ht="24" customHeight="1">
      <x:c r="A76" s="44" t="str">
        <x:v>منبع داده‌ها: https://github.com/sinaamiri9000-collab/paneldemand/blob/eadde5b/pilot/fixed_parameter_elasticities/report.md</x:v>
      </x:c>
      <x:c r="B76" s="44"/>
      <x:c r="C76" s="44"/>
      <x:c r="D76" s="44"/>
      <x:c r="E76" s="44"/>
      <x:c r="F76" s="44"/>
      <x:c r="G76" s="44"/>
      <x:c r="H76" s="44"/>
      <x:c r="I76" s="44"/>
    </x:row>
  </x:sheetData>
  <x:mergeCells>
    <x:mergeCell ref="A1:I1"/>
    <x:mergeCell ref="A2:I2"/>
    <x:mergeCell ref="A4:D4"/>
    <x:mergeCell ref="F4:I4"/>
    <x:mergeCell ref="A22:D22"/>
    <x:mergeCell ref="F22:I22"/>
    <x:mergeCell ref="A40:D40"/>
    <x:mergeCell ref="F40:I40"/>
    <x:mergeCell ref="A58:D58"/>
    <x:mergeCell ref="F58:I58"/>
    <x:mergeCell ref="A76:I76"/>
  </x:mergeCells>
  <x:pageMargins left="0.7" right="0.7" top="0.75" bottom="0.75" header="0.3" footer="0.3"/>
</x:worksheet>
</file>